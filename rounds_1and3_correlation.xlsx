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"/>
    </mc:Choice>
  </mc:AlternateContent>
  <xr:revisionPtr revIDLastSave="0" documentId="13_ncr:1_{87F366E2-55F6-DF49-8A61-DCE09D92FF8A}" xr6:coauthVersionLast="47" xr6:coauthVersionMax="47" xr10:uidLastSave="{00000000-0000-0000-0000-000000000000}"/>
  <bookViews>
    <workbookView xWindow="1160" yWindow="500" windowWidth="37240" windowHeight="21100" xr2:uid="{66C016B3-282B-AC49-9BEB-00834ADB606F}"/>
  </bookViews>
  <sheets>
    <sheet name="Sheet1" sheetId="1" r:id="rId1"/>
  </sheets>
  <definedNames>
    <definedName name="_xlnm._FilterDatabase" localSheetId="0" hidden="1">Sheet1!$A$1:$M$31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 a="1"/>
  <c r="Q2" i="1" s="1"/>
  <c r="M27" i="1"/>
  <c r="M26" i="1"/>
  <c r="M25" i="1"/>
  <c r="M24" i="1"/>
  <c r="O2" i="1" s="1"/>
  <c r="P2" i="1" s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<sst xmlns="http://schemas.openxmlformats.org/spreadsheetml/2006/main" count="68" uniqueCount="42">
  <si>
    <t>Bensonhurst</t>
  </si>
  <si>
    <t>Central Park</t>
  </si>
  <si>
    <t>Coney Island</t>
  </si>
  <si>
    <t>Corona Park</t>
  </si>
  <si>
    <t>Eltingville</t>
  </si>
  <si>
    <t>Flatiron</t>
  </si>
  <si>
    <t>Fresh Pond</t>
  </si>
  <si>
    <t>Fulton Street</t>
  </si>
  <si>
    <t>Grand Army Plaza</t>
  </si>
  <si>
    <t>Grand Concourse</t>
  </si>
  <si>
    <t>Houston Street</t>
  </si>
  <si>
    <t>Jamaica</t>
  </si>
  <si>
    <t>Jay Street</t>
  </si>
  <si>
    <t>Mott Haven</t>
  </si>
  <si>
    <t>Prospect Park</t>
  </si>
  <si>
    <t>Queens Plaza</t>
  </si>
  <si>
    <t>Rego Park</t>
  </si>
  <si>
    <t>Roosevelt Avenue</t>
  </si>
  <si>
    <t>St George</t>
  </si>
  <si>
    <t>Times Square</t>
  </si>
  <si>
    <t>Upper East Side</t>
  </si>
  <si>
    <t>Upper West Side</t>
  </si>
  <si>
    <t>Wall Street</t>
  </si>
  <si>
    <t>West Harlem</t>
  </si>
  <si>
    <t>Willowbrook Park</t>
  </si>
  <si>
    <t>Woodlawn</t>
  </si>
  <si>
    <t>location 1</t>
  </si>
  <si>
    <t>N 1</t>
  </si>
  <si>
    <t>Total MEAN 1</t>
  </si>
  <si>
    <t>Total GEOMEAN 1</t>
  </si>
  <si>
    <t>Total MEDIAN 1</t>
  </si>
  <si>
    <t>location 3</t>
  </si>
  <si>
    <t>N 3</t>
  </si>
  <si>
    <t>Total MEAN 3</t>
  </si>
  <si>
    <t>Total GEOMEAN 3</t>
  </si>
  <si>
    <t>Total MEDIAN 3</t>
  </si>
  <si>
    <t>rank 1</t>
  </si>
  <si>
    <t>rank 3</t>
  </si>
  <si>
    <t>r</t>
  </si>
  <si>
    <t>p</t>
  </si>
  <si>
    <t>student's t test</t>
  </si>
  <si>
    <t>dr^2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</si>
</sst>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7198652407255"/>
          <c:y val="9.7094240837696341E-2"/>
          <c:w val="0.79856794766325834"/>
          <c:h val="0.79006987673661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Total MEAN 3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170407803502177"/>
                  <c:y val="0.104171579337923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Sheet1!$D$2:$D$27</c:f>
              <c:numCache>
                <c:formatCode>0.0000</c:formatCode>
                <c:ptCount val="26"/>
                <c:pt idx="0">
                  <c:v>0.14836033327868081</c:v>
                </c:pt>
                <c:pt idx="1">
                  <c:v>0.26545515660832297</c:v>
                </c:pt>
                <c:pt idx="2">
                  <c:v>0.2776890425367371</c:v>
                </c:pt>
                <c:pt idx="3">
                  <c:v>0.44968575145210993</c:v>
                </c:pt>
                <c:pt idx="4">
                  <c:v>0.45314440575331821</c:v>
                </c:pt>
                <c:pt idx="5">
                  <c:v>0.41143132400958149</c:v>
                </c:pt>
                <c:pt idx="6">
                  <c:v>0.50697649252722654</c:v>
                </c:pt>
                <c:pt idx="7">
                  <c:v>0.5350493604549813</c:v>
                </c:pt>
                <c:pt idx="8">
                  <c:v>0.45840160075043851</c:v>
                </c:pt>
                <c:pt idx="9">
                  <c:v>0.56206489746281751</c:v>
                </c:pt>
                <c:pt idx="10">
                  <c:v>0.74891939042876754</c:v>
                </c:pt>
                <c:pt idx="11">
                  <c:v>1.0248347780598861</c:v>
                </c:pt>
                <c:pt idx="12">
                  <c:v>1.3007718311451011</c:v>
                </c:pt>
                <c:pt idx="13">
                  <c:v>0.72335920211115157</c:v>
                </c:pt>
                <c:pt idx="14">
                  <c:v>0.91338630420786171</c:v>
                </c:pt>
                <c:pt idx="15">
                  <c:v>1.108991998213724</c:v>
                </c:pt>
                <c:pt idx="16">
                  <c:v>1.152032583281414</c:v>
                </c:pt>
                <c:pt idx="17">
                  <c:v>1.0715567908783279</c:v>
                </c:pt>
                <c:pt idx="18">
                  <c:v>1.19118652367685</c:v>
                </c:pt>
                <c:pt idx="19">
                  <c:v>1.658204279897008</c:v>
                </c:pt>
                <c:pt idx="20">
                  <c:v>1.573291802574275</c:v>
                </c:pt>
                <c:pt idx="21">
                  <c:v>1.8601334766600339</c:v>
                </c:pt>
                <c:pt idx="22">
                  <c:v>2.1064346848772622</c:v>
                </c:pt>
                <c:pt idx="23">
                  <c:v>1.877521913022155</c:v>
                </c:pt>
                <c:pt idx="24">
                  <c:v>1.6574218813196699</c:v>
                </c:pt>
                <c:pt idx="25">
                  <c:v>2.6807846094910048</c:v>
                </c:pt>
              </c:numCache>
            </c:numRef>
          </c:xVal>
          <c:yVal>
            <c:numRef>
              <c:f>Sheet1!$J$2:$J$27</c:f>
              <c:numCache>
                <c:formatCode>0.0000</c:formatCode>
                <c:ptCount val="26"/>
                <c:pt idx="0">
                  <c:v>0.10619274483585089</c:v>
                </c:pt>
                <c:pt idx="1">
                  <c:v>0.3571848265939816</c:v>
                </c:pt>
                <c:pt idx="2">
                  <c:v>0.31221691763301329</c:v>
                </c:pt>
                <c:pt idx="3">
                  <c:v>0.42776072983211633</c:v>
                </c:pt>
                <c:pt idx="4">
                  <c:v>0.45922394622557972</c:v>
                </c:pt>
                <c:pt idx="5">
                  <c:v>0.47671454056946377</c:v>
                </c:pt>
                <c:pt idx="6">
                  <c:v>0.58286751800008585</c:v>
                </c:pt>
                <c:pt idx="7">
                  <c:v>0.56348835446173273</c:v>
                </c:pt>
                <c:pt idx="8">
                  <c:v>0.64387947859494465</c:v>
                </c:pt>
                <c:pt idx="9">
                  <c:v>0.7683876328285435</c:v>
                </c:pt>
                <c:pt idx="10">
                  <c:v>1.007539094766327</c:v>
                </c:pt>
                <c:pt idx="11">
                  <c:v>1.0143085758472741</c:v>
                </c:pt>
                <c:pt idx="12">
                  <c:v>1.274862366220167</c:v>
                </c:pt>
                <c:pt idx="13">
                  <c:v>1.372777961372242</c:v>
                </c:pt>
                <c:pt idx="14">
                  <c:v>1.1067066908350689</c:v>
                </c:pt>
                <c:pt idx="15">
                  <c:v>1.1308000315827089</c:v>
                </c:pt>
                <c:pt idx="16">
                  <c:v>1.232788276056983</c:v>
                </c:pt>
                <c:pt idx="17">
                  <c:v>1.387728224879839</c:v>
                </c:pt>
                <c:pt idx="18">
                  <c:v>1.4891842569567999</c:v>
                </c:pt>
                <c:pt idx="19">
                  <c:v>1.604745528775654</c:v>
                </c:pt>
                <c:pt idx="20">
                  <c:v>1.7227769806201441</c:v>
                </c:pt>
                <c:pt idx="21">
                  <c:v>1.7481718130614969</c:v>
                </c:pt>
                <c:pt idx="22">
                  <c:v>2.6616607172359021</c:v>
                </c:pt>
                <c:pt idx="23">
                  <c:v>2.0426960286209881</c:v>
                </c:pt>
                <c:pt idx="24">
                  <c:v>2.251219863592294</c:v>
                </c:pt>
                <c:pt idx="25">
                  <c:v>3.5110562794441251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0-4641-A5F2-D99A2C32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 val="autoZero"/>
        <c:crossBetween val="midCat"/>
      </c:valAx>
      <c:valAx>
        <c:axId val="156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9753171598347E-2"/>
          <c:y val="0.1058288673974865"/>
          <c:w val="0.8754449724452571"/>
          <c:h val="0.7751010681268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rank 3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71923484920352"/>
                  <c:y val="9.05154093819237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Sheet1!$C$2:$C$27</c:f>
              <c:numCache>
                <c:formatCode>0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9</c:v>
                </c:pt>
                <c:pt idx="14">
                  <c:v>14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24</c:v>
                </c:pt>
                <c:pt idx="22">
                  <c:v>23</c:v>
                </c:pt>
                <c:pt idx="23">
                  <c:v>25</c:v>
                </c:pt>
                <c:pt idx="24">
                  <c:v>22</c:v>
                </c:pt>
                <c:pt idx="25">
                  <c:v>26</c:v>
                </c:pt>
              </c:numCache>
            </c:numRef>
          </c:xVal>
          <c:yVal>
            <c:numRef>
              <c:f>Sheet1!$I$2:$I$27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9-364C-AF77-9C3015DB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0111"/>
        <c:axId val="156424463"/>
      </c:scatterChart>
      <c:valAx>
        <c:axId val="1566301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4463"/>
        <c:crosses val="autoZero"/>
        <c:crossBetween val="midCat"/>
      </c:valAx>
      <c:valAx>
        <c:axId val="1564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alpha val="10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GEOMEANs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00365732971903"/>
          <c:y val="9.7081134829779245E-2"/>
          <c:w val="0.82840617873585476"/>
          <c:h val="0.79008312229485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Total GEOMEAN 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130502129856718"/>
                  <c:y val="0.13796247933073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Sheet1!$E$2:$E$27</c:f>
              <c:numCache>
                <c:formatCode>0.0000</c:formatCode>
                <c:ptCount val="26"/>
                <c:pt idx="0">
                  <c:v>0.1152134696862408</c:v>
                </c:pt>
                <c:pt idx="1">
                  <c:v>0.15559193288723611</c:v>
                </c:pt>
                <c:pt idx="2">
                  <c:v>0.21009956170520949</c:v>
                </c:pt>
                <c:pt idx="3">
                  <c:v>0.29965000473510722</c:v>
                </c:pt>
                <c:pt idx="4">
                  <c:v>0.35759477141780027</c:v>
                </c:pt>
                <c:pt idx="5">
                  <c:v>0.33113785194993789</c:v>
                </c:pt>
                <c:pt idx="6">
                  <c:v>0.36226013060075052</c:v>
                </c:pt>
                <c:pt idx="7">
                  <c:v>0.46689558332147618</c:v>
                </c:pt>
                <c:pt idx="8">
                  <c:v>0.37243390201364729</c:v>
                </c:pt>
                <c:pt idx="9">
                  <c:v>0.48350621603292682</c:v>
                </c:pt>
                <c:pt idx="10">
                  <c:v>0.60331777817222576</c:v>
                </c:pt>
                <c:pt idx="11">
                  <c:v>0.76342678806752673</c:v>
                </c:pt>
                <c:pt idx="12">
                  <c:v>0.92803713859160453</c:v>
                </c:pt>
                <c:pt idx="13">
                  <c:v>0.54643421679481063</c:v>
                </c:pt>
                <c:pt idx="14">
                  <c:v>0.81128902918266399</c:v>
                </c:pt>
                <c:pt idx="15">
                  <c:v>1.0377471078832889</c:v>
                </c:pt>
                <c:pt idx="16">
                  <c:v>1.033167893857398</c:v>
                </c:pt>
                <c:pt idx="17">
                  <c:v>0.9715468747996433</c:v>
                </c:pt>
                <c:pt idx="18">
                  <c:v>0.91205460169296304</c:v>
                </c:pt>
                <c:pt idx="19">
                  <c:v>1.398959615848349</c:v>
                </c:pt>
                <c:pt idx="20">
                  <c:v>1.38448112261975</c:v>
                </c:pt>
                <c:pt idx="21">
                  <c:v>1.644259566462015</c:v>
                </c:pt>
                <c:pt idx="22">
                  <c:v>1.7267589589830701</c:v>
                </c:pt>
                <c:pt idx="23">
                  <c:v>1.6463452714865701</c:v>
                </c:pt>
                <c:pt idx="24">
                  <c:v>1.492882092778165</c:v>
                </c:pt>
                <c:pt idx="25">
                  <c:v>2.625210211239664</c:v>
                </c:pt>
              </c:numCache>
            </c:numRef>
          </c:xVal>
          <c:yVal>
            <c:numRef>
              <c:f>Sheet1!$K$2:$K$27</c:f>
              <c:numCache>
                <c:formatCode>0.0000</c:formatCode>
                <c:ptCount val="26"/>
                <c:pt idx="0">
                  <c:v>8.3717168737379208E-2</c:v>
                </c:pt>
                <c:pt idx="1">
                  <c:v>0.17158875228986481</c:v>
                </c:pt>
                <c:pt idx="2">
                  <c:v>0.22074400521016149</c:v>
                </c:pt>
                <c:pt idx="3">
                  <c:v>0.33532759505739651</c:v>
                </c:pt>
                <c:pt idx="4">
                  <c:v>0.36230486023086339</c:v>
                </c:pt>
                <c:pt idx="5">
                  <c:v>0.38989923529340031</c:v>
                </c:pt>
                <c:pt idx="6">
                  <c:v>0.40638490800608801</c:v>
                </c:pt>
                <c:pt idx="7">
                  <c:v>0.49635272056044488</c:v>
                </c:pt>
                <c:pt idx="8">
                  <c:v>0.51679636277208985</c:v>
                </c:pt>
                <c:pt idx="9">
                  <c:v>0.67056626226216076</c:v>
                </c:pt>
                <c:pt idx="10">
                  <c:v>0.80157815259824738</c:v>
                </c:pt>
                <c:pt idx="11">
                  <c:v>0.75965279600650115</c:v>
                </c:pt>
                <c:pt idx="12">
                  <c:v>0.91239584088928882</c:v>
                </c:pt>
                <c:pt idx="13">
                  <c:v>0.94281128597454578</c:v>
                </c:pt>
                <c:pt idx="14">
                  <c:v>0.96765629064026071</c:v>
                </c:pt>
                <c:pt idx="15">
                  <c:v>1.042511685143414</c:v>
                </c:pt>
                <c:pt idx="16">
                  <c:v>1.1083322043796751</c:v>
                </c:pt>
                <c:pt idx="17">
                  <c:v>1.2351468309981499</c:v>
                </c:pt>
                <c:pt idx="18">
                  <c:v>1.116972853913305</c:v>
                </c:pt>
                <c:pt idx="19">
                  <c:v>1.4272025470463841</c:v>
                </c:pt>
                <c:pt idx="20">
                  <c:v>1.4908003657362789</c:v>
                </c:pt>
                <c:pt idx="21">
                  <c:v>1.4436553933220171</c:v>
                </c:pt>
                <c:pt idx="22">
                  <c:v>2.11858483093856</c:v>
                </c:pt>
                <c:pt idx="23">
                  <c:v>1.775749234501071</c:v>
                </c:pt>
                <c:pt idx="24">
                  <c:v>1.978862200226126</c:v>
                </c:pt>
                <c:pt idx="25">
                  <c:v>3.3017124659265078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D-0B43-8E88-F09EA2E6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2911"/>
        <c:axId val="157044623"/>
      </c:scatterChart>
      <c:valAx>
        <c:axId val="1570429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4623"/>
        <c:crosses val="autoZero"/>
        <c:crossBetween val="midCat"/>
      </c:valAx>
      <c:valAx>
        <c:axId val="1570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291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MEDIANs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054385643655"/>
          <c:y val="0.10376663620390129"/>
          <c:w val="0.79710763596410916"/>
          <c:h val="0.78310118391450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 MEDIAN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124665812122325E-2"/>
                  <c:y val="0.264149375843977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Sheet1!$F$2:$F$27</c:f>
              <c:numCache>
                <c:formatCode>0.0000</c:formatCode>
                <c:ptCount val="26"/>
                <c:pt idx="0">
                  <c:v>9.7055680662052821E-2</c:v>
                </c:pt>
                <c:pt idx="1">
                  <c:v>0.10405397637764729</c:v>
                </c:pt>
                <c:pt idx="2">
                  <c:v>0.17852389195847149</c:v>
                </c:pt>
                <c:pt idx="3">
                  <c:v>0.21956550275487269</c:v>
                </c:pt>
                <c:pt idx="4">
                  <c:v>0.336480920707252</c:v>
                </c:pt>
                <c:pt idx="5">
                  <c:v>0.30362552593614389</c:v>
                </c:pt>
                <c:pt idx="6">
                  <c:v>0.39345450817089361</c:v>
                </c:pt>
                <c:pt idx="7">
                  <c:v>0.48820047296329178</c:v>
                </c:pt>
                <c:pt idx="8">
                  <c:v>0.33526780340497953</c:v>
                </c:pt>
                <c:pt idx="9">
                  <c:v>0.48450363259732088</c:v>
                </c:pt>
                <c:pt idx="10">
                  <c:v>0.5555892547557052</c:v>
                </c:pt>
                <c:pt idx="11">
                  <c:v>0.82562021112587591</c:v>
                </c:pt>
                <c:pt idx="12">
                  <c:v>0.83668953957674308</c:v>
                </c:pt>
                <c:pt idx="13">
                  <c:v>0.47550039126975158</c:v>
                </c:pt>
                <c:pt idx="14">
                  <c:v>0.83218159022111893</c:v>
                </c:pt>
                <c:pt idx="15">
                  <c:v>1.0620060068188719</c:v>
                </c:pt>
                <c:pt idx="16">
                  <c:v>1.0121508978408309</c:v>
                </c:pt>
                <c:pt idx="17">
                  <c:v>0.92562293039515342</c:v>
                </c:pt>
                <c:pt idx="18">
                  <c:v>1.067536880801097</c:v>
                </c:pt>
                <c:pt idx="19">
                  <c:v>1.3023351351298711</c:v>
                </c:pt>
                <c:pt idx="20">
                  <c:v>1.35619691416844</c:v>
                </c:pt>
                <c:pt idx="21">
                  <c:v>1.692894441105</c:v>
                </c:pt>
                <c:pt idx="22">
                  <c:v>1.6719055113110419</c:v>
                </c:pt>
                <c:pt idx="23">
                  <c:v>1.7336025722306689</c:v>
                </c:pt>
                <c:pt idx="24">
                  <c:v>1.5061694824952461</c:v>
                </c:pt>
                <c:pt idx="25">
                  <c:v>2.5635508576971899</c:v>
                </c:pt>
              </c:numCache>
            </c:numRef>
          </c:xVal>
          <c:yVal>
            <c:numRef>
              <c:f>Sheet1!$L$2:$L$27</c:f>
              <c:numCache>
                <c:formatCode>0.0000</c:formatCode>
                <c:ptCount val="26"/>
                <c:pt idx="0">
                  <c:v>7.0435317978319992E-2</c:v>
                </c:pt>
                <c:pt idx="1">
                  <c:v>0.1167644637721597</c:v>
                </c:pt>
                <c:pt idx="2">
                  <c:v>0.17772449362672921</c:v>
                </c:pt>
                <c:pt idx="3">
                  <c:v>0.28519333793060447</c:v>
                </c:pt>
                <c:pt idx="4">
                  <c:v>0.32467800451940459</c:v>
                </c:pt>
                <c:pt idx="5">
                  <c:v>0.37828926762465781</c:v>
                </c:pt>
                <c:pt idx="6">
                  <c:v>0.45310699987817149</c:v>
                </c:pt>
                <c:pt idx="7">
                  <c:v>0.49283538983049169</c:v>
                </c:pt>
                <c:pt idx="8">
                  <c:v>0.49572460652700218</c:v>
                </c:pt>
                <c:pt idx="9">
                  <c:v>0.64720102818289482</c:v>
                </c:pt>
                <c:pt idx="10">
                  <c:v>0.72818262766282138</c:v>
                </c:pt>
                <c:pt idx="11">
                  <c:v>0.75946404786533517</c:v>
                </c:pt>
                <c:pt idx="12">
                  <c:v>0.79510738897333866</c:v>
                </c:pt>
                <c:pt idx="13">
                  <c:v>0.84251825245464695</c:v>
                </c:pt>
                <c:pt idx="14">
                  <c:v>0.96296339945729548</c:v>
                </c:pt>
                <c:pt idx="15">
                  <c:v>1.0127476607200161</c:v>
                </c:pt>
                <c:pt idx="16">
                  <c:v>1.0811279087677781</c:v>
                </c:pt>
                <c:pt idx="17">
                  <c:v>1.238349502361914</c:v>
                </c:pt>
                <c:pt idx="18">
                  <c:v>1.252561486793637</c:v>
                </c:pt>
                <c:pt idx="19">
                  <c:v>1.4146275350336399</c:v>
                </c:pt>
                <c:pt idx="20">
                  <c:v>1.457835258182488</c:v>
                </c:pt>
                <c:pt idx="21">
                  <c:v>1.546548993727648</c:v>
                </c:pt>
                <c:pt idx="22">
                  <c:v>1.8159720399829939</c:v>
                </c:pt>
                <c:pt idx="23">
                  <c:v>1.831794144298533</c:v>
                </c:pt>
                <c:pt idx="24">
                  <c:v>2.005503652452421</c:v>
                </c:pt>
                <c:pt idx="25">
                  <c:v>3.1064900696401359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0-C947-9E07-BC1B1FB64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15679"/>
        <c:axId val="1096917391"/>
      </c:scatterChart>
      <c:valAx>
        <c:axId val="109691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17391"/>
        <c:crosses val="autoZero"/>
        <c:crossBetween val="midCat"/>
      </c:valAx>
      <c:valAx>
        <c:axId val="10969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1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1009650</xdr:colOff>
      <xdr:row>27</xdr:row>
      <xdr:rowOff>152400</xdr:rowOff>
    </xdr:from>
    <xdr:to>
      <xdr:col>12</xdr:col>
      <xdr:colOff>495300</xdr:colOff>
      <xdr:row>51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6EC79-551A-4F3F-AEED-418BBFEA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311150</xdr:colOff>
      <xdr:row>4</xdr:row>
      <xdr:rowOff>139706</xdr:rowOff>
    </xdr:from>
    <xdr:to>
      <xdr:col>20</xdr:col>
      <xdr:colOff>228600</xdr:colOff>
      <xdr:row>27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533D9-3D32-6949-40DB-38AC5ABD9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27</xdr:row>
      <xdr:rowOff>165100</xdr:rowOff>
    </xdr:from>
    <xdr:to>
      <xdr:col>19</xdr:col>
      <xdr:colOff>584200</xdr:colOff>
      <xdr:row>51</xdr:row>
      <xdr:rowOff>139706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C760E-D2FA-67B9-2181-FB2B17C45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717550</xdr:colOff>
      <xdr:row>27</xdr:row>
      <xdr:rowOff>152406</xdr:rowOff>
    </xdr:from>
    <xdr:to>
      <xdr:col>6</xdr:col>
      <xdr:colOff>927100</xdr:colOff>
      <xdr:row>51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97C21-DFA8-683C-3A63-D108B5B6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1574-25EF-DE4B-90F0-6CE3F6682B8D}">
  <dimension ref="A1:Q27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RowHeight="16" x14ac:dyDescent="0.2"/>
  <cols>
    <col min="1" max="1" width="15.33203125" bestFit="1" customWidth="1"/>
    <col min="2" max="2" width="6.83203125" bestFit="1" customWidth="1"/>
    <col min="3" max="3" width="9.6640625" style="3" bestFit="1" customWidth="1"/>
    <col min="4" max="4" width="16.1640625" bestFit="1" customWidth="1"/>
    <col min="5" max="5" width="20.5" bestFit="1" customWidth="1"/>
    <col min="6" max="6" width="18.33203125" bestFit="1" customWidth="1"/>
    <col min="7" max="7" width="15.33203125" bestFit="1" customWidth="1"/>
    <col min="8" max="8" width="6.83203125" bestFit="1" customWidth="1"/>
    <col min="9" max="9" width="13.33203125" customWidth="1"/>
    <col min="10" max="10" width="16.1640625" bestFit="1" customWidth="1"/>
    <col min="11" max="11" width="20.5" bestFit="1" customWidth="1"/>
    <col min="12" max="12" width="18.33203125" bestFit="1" customWidth="1"/>
    <col min="17" max="17" width="12.1640625" bestFit="1" customWidth="1"/>
  </cols>
  <sheetData>
    <row r="1" spans="1:17" s="2" customFormat="1" ht="19" x14ac:dyDescent="0.2">
      <c r="A1" s="2" t="s">
        <v>26</v>
      </c>
      <c r="B1" s="2" t="s">
        <v>27</v>
      </c>
      <c r="C1" s="2" t="s">
        <v>36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37</v>
      </c>
      <c r="J1" s="2" t="s">
        <v>33</v>
      </c>
      <c r="K1" s="2" t="s">
        <v>34</v>
      </c>
      <c r="L1" s="2" t="s">
        <v>35</v>
      </c>
      <c r="M1" s="2" t="s">
        <v>41</v>
      </c>
      <c r="O1" s="2" t="s">
        <v>38</v>
      </c>
      <c r="P1" s="2" t="s">
        <v>39</v>
      </c>
      <c r="Q1" s="2" t="s">
        <v>40</v>
      </c>
    </row>
    <row r="2" spans="1:17" x14ac:dyDescent="0.2">
      <c r="A2" t="s">
        <v>24</v>
      </c>
      <c r="B2">
        <v>200</v>
      </c>
      <c r="C2" s="3">
        <v>1</v>
      </c>
      <c r="D2" s="1">
        <v>0.14836033327868081</v>
      </c>
      <c r="E2" s="1">
        <v>0.1152134696862408</v>
      </c>
      <c r="F2" s="1">
        <v>9.7055680662052821E-2</v>
      </c>
      <c r="G2" t="s">
        <v>24</v>
      </c>
      <c r="H2">
        <v>278</v>
      </c>
      <c r="I2">
        <v>1</v>
      </c>
      <c r="J2" s="1">
        <v>0.10619274483585089</v>
      </c>
      <c r="K2" s="1">
        <v>8.3717168737379208E-2</v>
      </c>
      <c r="L2" s="1">
        <v>7.0435317978319992E-2</v>
      </c>
      <c r="M2" s="3">
        <f>(C2-I2)^2</f>
        <v>0</v>
      </c>
      <c r="O2" s="1">
        <f>1 - 6*SUM(M2:M27)/(COUNT(M2:M27)*(COUNT(M2:M27)^2-1))</f>
        <v>0.97333333333333338</v>
      </c>
      <c r="P2">
        <f>O2 * SQRT(COUNT(M2:M27)-2)/SQRT(1-O2^2)</f>
        <v>20.786560106979749</v>
      </c>
      <c r="Q2" cm="1">
        <f t="array" ref="Q2">_xlfn.T.DIST.2T(
  ABS(
    CORREL(
      _xlfn.RANK.AVG($C$2:$C$27,$C$2:$C$27,1),
      _xlfn.RANK.AVG($I$2:$I$27,$I$2:$I$27,1)
    )
    *SQRT(
      (ROWS($C$2:$C$27)-2) /
      (1 - CORREL(
            _xlfn.RANK.AVG($C$2:$C$27,$C$2:$C$27,1),
            _xlfn.RANK.AVG($I$2:$I$27,$I$2:$I$27,1)
         )^2)
    )
  ),
  ROWS($C$2:$C$27)-2
)</f>
        <v>7.4500149702619099E-17</v>
      </c>
    </row>
    <row r="3" spans="1:17" x14ac:dyDescent="0.2">
      <c r="A3" t="s">
        <v>4</v>
      </c>
      <c r="B3">
        <v>293</v>
      </c>
      <c r="C3" s="3">
        <v>2</v>
      </c>
      <c r="D3" s="1">
        <v>0.26545515660832297</v>
      </c>
      <c r="E3" s="1">
        <v>0.15559193288723611</v>
      </c>
      <c r="F3" s="1">
        <v>0.10405397637764729</v>
      </c>
      <c r="G3" t="s">
        <v>4</v>
      </c>
      <c r="H3">
        <v>319</v>
      </c>
      <c r="I3">
        <v>2</v>
      </c>
      <c r="J3" s="1">
        <v>0.3571848265939816</v>
      </c>
      <c r="K3" s="1">
        <v>0.17158875228986481</v>
      </c>
      <c r="L3" s="1">
        <v>0.1167644637721597</v>
      </c>
      <c r="M3" s="3">
        <f t="shared" ref="M3:M27" si="0">(C3-I3)^2</f>
        <v>0</v>
      </c>
    </row>
    <row r="4" spans="1:17" x14ac:dyDescent="0.2">
      <c r="A4" t="s">
        <v>14</v>
      </c>
      <c r="B4">
        <v>231</v>
      </c>
      <c r="C4" s="3">
        <v>3</v>
      </c>
      <c r="D4" s="1">
        <v>0.2776890425367371</v>
      </c>
      <c r="E4" s="1">
        <v>0.21009956170520949</v>
      </c>
      <c r="F4" s="1">
        <v>0.17852389195847149</v>
      </c>
      <c r="G4" t="s">
        <v>14</v>
      </c>
      <c r="H4">
        <v>248</v>
      </c>
      <c r="I4">
        <v>3</v>
      </c>
      <c r="J4" s="1">
        <v>0.31221691763301329</v>
      </c>
      <c r="K4" s="1">
        <v>0.22074400521016149</v>
      </c>
      <c r="L4" s="1">
        <v>0.17772449362672921</v>
      </c>
      <c r="M4" s="3">
        <f t="shared" si="0"/>
        <v>0</v>
      </c>
    </row>
    <row r="5" spans="1:17" x14ac:dyDescent="0.2">
      <c r="A5" t="s">
        <v>3</v>
      </c>
      <c r="B5">
        <v>263</v>
      </c>
      <c r="C5" s="3">
        <v>4</v>
      </c>
      <c r="D5" s="1">
        <v>0.44968575145210993</v>
      </c>
      <c r="E5" s="1">
        <v>0.29965000473510722</v>
      </c>
      <c r="F5" s="1">
        <v>0.21956550275487269</v>
      </c>
      <c r="G5" t="s">
        <v>3</v>
      </c>
      <c r="H5">
        <v>257</v>
      </c>
      <c r="I5">
        <v>4</v>
      </c>
      <c r="J5" s="1">
        <v>0.42776072983211633</v>
      </c>
      <c r="K5" s="1">
        <v>0.33532759505739651</v>
      </c>
      <c r="L5" s="1">
        <v>0.28519333793060447</v>
      </c>
      <c r="M5" s="3">
        <f t="shared" si="0"/>
        <v>0</v>
      </c>
    </row>
    <row r="6" spans="1:17" x14ac:dyDescent="0.2">
      <c r="A6" t="s">
        <v>8</v>
      </c>
      <c r="B6">
        <v>289</v>
      </c>
      <c r="C6" s="3">
        <v>7</v>
      </c>
      <c r="D6" s="1">
        <v>0.45314440575331821</v>
      </c>
      <c r="E6" s="1">
        <v>0.35759477141780027</v>
      </c>
      <c r="F6" s="1">
        <v>0.336480920707252</v>
      </c>
      <c r="G6" t="s">
        <v>8</v>
      </c>
      <c r="H6">
        <v>318</v>
      </c>
      <c r="I6">
        <v>5</v>
      </c>
      <c r="J6" s="1">
        <v>0.45922394622557972</v>
      </c>
      <c r="K6" s="1">
        <v>0.36230486023086339</v>
      </c>
      <c r="L6" s="1">
        <v>0.32467800451940459</v>
      </c>
      <c r="M6" s="3">
        <f t="shared" si="0"/>
        <v>4</v>
      </c>
    </row>
    <row r="7" spans="1:17" x14ac:dyDescent="0.2">
      <c r="A7" t="s">
        <v>16</v>
      </c>
      <c r="B7">
        <v>297</v>
      </c>
      <c r="C7" s="3">
        <v>5</v>
      </c>
      <c r="D7" s="1">
        <v>0.41143132400958149</v>
      </c>
      <c r="E7" s="1">
        <v>0.33113785194993789</v>
      </c>
      <c r="F7" s="1">
        <v>0.30362552593614389</v>
      </c>
      <c r="G7" t="s">
        <v>16</v>
      </c>
      <c r="H7">
        <v>285</v>
      </c>
      <c r="I7">
        <v>6</v>
      </c>
      <c r="J7" s="1">
        <v>0.47671454056946377</v>
      </c>
      <c r="K7" s="1">
        <v>0.38989923529340031</v>
      </c>
      <c r="L7" s="1">
        <v>0.37828926762465781</v>
      </c>
      <c r="M7" s="3">
        <f t="shared" si="0"/>
        <v>1</v>
      </c>
    </row>
    <row r="8" spans="1:17" x14ac:dyDescent="0.2">
      <c r="A8" t="s">
        <v>18</v>
      </c>
      <c r="B8">
        <v>185</v>
      </c>
      <c r="C8" s="3">
        <v>8</v>
      </c>
      <c r="D8" s="1">
        <v>0.50697649252722654</v>
      </c>
      <c r="E8" s="1">
        <v>0.36226013060075052</v>
      </c>
      <c r="F8" s="1">
        <v>0.39345450817089361</v>
      </c>
      <c r="G8" t="s">
        <v>18</v>
      </c>
      <c r="H8">
        <v>220</v>
      </c>
      <c r="I8">
        <v>7</v>
      </c>
      <c r="J8" s="1">
        <v>0.58286751800008585</v>
      </c>
      <c r="K8" s="1">
        <v>0.40638490800608801</v>
      </c>
      <c r="L8" s="1">
        <v>0.45310699987817149</v>
      </c>
      <c r="M8" s="3">
        <f t="shared" si="0"/>
        <v>1</v>
      </c>
    </row>
    <row r="9" spans="1:17" x14ac:dyDescent="0.2">
      <c r="A9" t="s">
        <v>25</v>
      </c>
      <c r="B9">
        <v>270</v>
      </c>
      <c r="C9" s="3">
        <v>11</v>
      </c>
      <c r="D9" s="1">
        <v>0.5350493604549813</v>
      </c>
      <c r="E9" s="1">
        <v>0.46689558332147618</v>
      </c>
      <c r="F9" s="1">
        <v>0.48820047296329178</v>
      </c>
      <c r="G9" t="s">
        <v>25</v>
      </c>
      <c r="H9">
        <v>274</v>
      </c>
      <c r="I9">
        <v>8</v>
      </c>
      <c r="J9" s="1">
        <v>0.56348835446173273</v>
      </c>
      <c r="K9" s="1">
        <v>0.49635272056044488</v>
      </c>
      <c r="L9" s="1">
        <v>0.49283538983049169</v>
      </c>
      <c r="M9" s="3">
        <f t="shared" si="0"/>
        <v>9</v>
      </c>
    </row>
    <row r="10" spans="1:17" x14ac:dyDescent="0.2">
      <c r="A10" t="s">
        <v>2</v>
      </c>
      <c r="B10">
        <v>203</v>
      </c>
      <c r="C10" s="3">
        <v>6</v>
      </c>
      <c r="D10" s="1">
        <v>0.45840160075043851</v>
      </c>
      <c r="E10" s="1">
        <v>0.37243390201364729</v>
      </c>
      <c r="F10" s="1">
        <v>0.33526780340497953</v>
      </c>
      <c r="G10" t="s">
        <v>2</v>
      </c>
      <c r="H10">
        <v>234</v>
      </c>
      <c r="I10">
        <v>9</v>
      </c>
      <c r="J10" s="1">
        <v>0.64387947859494465</v>
      </c>
      <c r="K10" s="1">
        <v>0.51679636277208985</v>
      </c>
      <c r="L10" s="1">
        <v>0.49572460652700218</v>
      </c>
      <c r="M10" s="3">
        <f t="shared" si="0"/>
        <v>9</v>
      </c>
    </row>
    <row r="11" spans="1:17" x14ac:dyDescent="0.2">
      <c r="A11" t="s">
        <v>1</v>
      </c>
      <c r="B11">
        <v>363</v>
      </c>
      <c r="C11" s="3">
        <v>10</v>
      </c>
      <c r="D11" s="1">
        <v>0.56206489746281751</v>
      </c>
      <c r="E11" s="1">
        <v>0.48350621603292682</v>
      </c>
      <c r="F11" s="1">
        <v>0.48450363259732088</v>
      </c>
      <c r="G11" t="s">
        <v>1</v>
      </c>
      <c r="H11">
        <v>338</v>
      </c>
      <c r="I11">
        <v>10</v>
      </c>
      <c r="J11" s="1">
        <v>0.7683876328285435</v>
      </c>
      <c r="K11" s="1">
        <v>0.67056626226216076</v>
      </c>
      <c r="L11" s="1">
        <v>0.64720102818289482</v>
      </c>
      <c r="M11" s="3">
        <f t="shared" si="0"/>
        <v>0</v>
      </c>
    </row>
    <row r="12" spans="1:17" x14ac:dyDescent="0.2">
      <c r="A12" t="s">
        <v>23</v>
      </c>
      <c r="B12">
        <v>401</v>
      </c>
      <c r="C12" s="3">
        <v>12</v>
      </c>
      <c r="D12" s="1">
        <v>0.74891939042876754</v>
      </c>
      <c r="E12" s="1">
        <v>0.60331777817222576</v>
      </c>
      <c r="F12" s="1">
        <v>0.5555892547557052</v>
      </c>
      <c r="G12" t="s">
        <v>23</v>
      </c>
      <c r="H12">
        <v>382</v>
      </c>
      <c r="I12">
        <v>11</v>
      </c>
      <c r="J12" s="1">
        <v>1.007539094766327</v>
      </c>
      <c r="K12" s="1">
        <v>0.80157815259824738</v>
      </c>
      <c r="L12" s="1">
        <v>0.72818262766282138</v>
      </c>
      <c r="M12" s="3">
        <f t="shared" si="0"/>
        <v>1</v>
      </c>
    </row>
    <row r="13" spans="1:17" x14ac:dyDescent="0.2">
      <c r="A13" t="s">
        <v>7</v>
      </c>
      <c r="B13">
        <v>258</v>
      </c>
      <c r="C13" s="3">
        <v>13</v>
      </c>
      <c r="D13" s="1">
        <v>1.0248347780598861</v>
      </c>
      <c r="E13" s="1">
        <v>0.76342678806752673</v>
      </c>
      <c r="F13" s="1">
        <v>0.82562021112587591</v>
      </c>
      <c r="G13" t="s">
        <v>7</v>
      </c>
      <c r="H13">
        <v>239</v>
      </c>
      <c r="I13">
        <v>12</v>
      </c>
      <c r="J13" s="1">
        <v>1.0143085758472741</v>
      </c>
      <c r="K13" s="1">
        <v>0.75965279600650115</v>
      </c>
      <c r="L13" s="1">
        <v>0.75946404786533517</v>
      </c>
      <c r="M13" s="3">
        <f t="shared" si="0"/>
        <v>1</v>
      </c>
    </row>
    <row r="14" spans="1:17" x14ac:dyDescent="0.2">
      <c r="A14" t="s">
        <v>0</v>
      </c>
      <c r="B14">
        <v>224</v>
      </c>
      <c r="C14" s="3">
        <v>15</v>
      </c>
      <c r="D14" s="1">
        <v>1.3007718311451011</v>
      </c>
      <c r="E14" s="1">
        <v>0.92803713859160453</v>
      </c>
      <c r="F14" s="1">
        <v>0.83668953957674308</v>
      </c>
      <c r="G14" t="s">
        <v>0</v>
      </c>
      <c r="H14">
        <v>271</v>
      </c>
      <c r="I14">
        <v>13</v>
      </c>
      <c r="J14" s="1">
        <v>1.274862366220167</v>
      </c>
      <c r="K14" s="1">
        <v>0.91239584088928882</v>
      </c>
      <c r="L14" s="1">
        <v>0.79510738897333866</v>
      </c>
      <c r="M14" s="3">
        <f t="shared" si="0"/>
        <v>4</v>
      </c>
    </row>
    <row r="15" spans="1:17" x14ac:dyDescent="0.2">
      <c r="A15" t="s">
        <v>13</v>
      </c>
      <c r="B15">
        <v>260</v>
      </c>
      <c r="C15" s="3">
        <v>9</v>
      </c>
      <c r="D15" s="1">
        <v>0.72335920211115157</v>
      </c>
      <c r="E15" s="1">
        <v>0.54643421679481063</v>
      </c>
      <c r="F15" s="1">
        <v>0.47550039126975158</v>
      </c>
      <c r="G15" t="s">
        <v>13</v>
      </c>
      <c r="H15">
        <v>336</v>
      </c>
      <c r="I15">
        <v>14</v>
      </c>
      <c r="J15" s="1">
        <v>1.372777961372242</v>
      </c>
      <c r="K15" s="1">
        <v>0.94281128597454578</v>
      </c>
      <c r="L15" s="1">
        <v>0.84251825245464695</v>
      </c>
      <c r="M15" s="3">
        <f t="shared" si="0"/>
        <v>25</v>
      </c>
    </row>
    <row r="16" spans="1:17" x14ac:dyDescent="0.2">
      <c r="A16" t="s">
        <v>17</v>
      </c>
      <c r="B16">
        <v>278</v>
      </c>
      <c r="C16" s="3">
        <v>14</v>
      </c>
      <c r="D16" s="1">
        <v>0.91338630420786171</v>
      </c>
      <c r="E16" s="1">
        <v>0.81128902918266399</v>
      </c>
      <c r="F16" s="1">
        <v>0.83218159022111893</v>
      </c>
      <c r="G16" t="s">
        <v>17</v>
      </c>
      <c r="H16">
        <v>254</v>
      </c>
      <c r="I16">
        <v>15</v>
      </c>
      <c r="J16" s="1">
        <v>1.1067066908350689</v>
      </c>
      <c r="K16" s="1">
        <v>0.96765629064026071</v>
      </c>
      <c r="L16" s="1">
        <v>0.96296339945729548</v>
      </c>
      <c r="M16" s="3">
        <f t="shared" si="0"/>
        <v>1</v>
      </c>
    </row>
    <row r="17" spans="1:13" x14ac:dyDescent="0.2">
      <c r="A17" t="s">
        <v>21</v>
      </c>
      <c r="B17">
        <v>366</v>
      </c>
      <c r="C17" s="3">
        <v>18</v>
      </c>
      <c r="D17" s="1">
        <v>1.108991998213724</v>
      </c>
      <c r="E17" s="1">
        <v>1.0377471078832889</v>
      </c>
      <c r="F17" s="1">
        <v>1.0620060068188719</v>
      </c>
      <c r="G17" t="s">
        <v>21</v>
      </c>
      <c r="H17">
        <v>300</v>
      </c>
      <c r="I17">
        <v>16</v>
      </c>
      <c r="J17" s="1">
        <v>1.1308000315827089</v>
      </c>
      <c r="K17" s="1">
        <v>1.042511685143414</v>
      </c>
      <c r="L17" s="1">
        <v>1.0127476607200161</v>
      </c>
      <c r="M17" s="3">
        <f t="shared" si="0"/>
        <v>4</v>
      </c>
    </row>
    <row r="18" spans="1:13" x14ac:dyDescent="0.2">
      <c r="A18" t="s">
        <v>15</v>
      </c>
      <c r="B18">
        <v>331</v>
      </c>
      <c r="C18" s="3">
        <v>17</v>
      </c>
      <c r="D18" s="1">
        <v>1.152032583281414</v>
      </c>
      <c r="E18" s="1">
        <v>1.033167893857398</v>
      </c>
      <c r="F18" s="1">
        <v>1.0121508978408309</v>
      </c>
      <c r="G18" t="s">
        <v>15</v>
      </c>
      <c r="H18">
        <v>298</v>
      </c>
      <c r="I18">
        <v>17</v>
      </c>
      <c r="J18" s="1">
        <v>1.232788276056983</v>
      </c>
      <c r="K18" s="1">
        <v>1.1083322043796751</v>
      </c>
      <c r="L18" s="1">
        <v>1.0811279087677781</v>
      </c>
      <c r="M18" s="3">
        <f t="shared" si="0"/>
        <v>0</v>
      </c>
    </row>
    <row r="19" spans="1:13" x14ac:dyDescent="0.2">
      <c r="A19" t="s">
        <v>11</v>
      </c>
      <c r="B19">
        <v>258</v>
      </c>
      <c r="C19" s="3">
        <v>16</v>
      </c>
      <c r="D19" s="1">
        <v>1.0715567908783279</v>
      </c>
      <c r="E19" s="1">
        <v>0.9715468747996433</v>
      </c>
      <c r="F19" s="1">
        <v>0.92562293039515342</v>
      </c>
      <c r="G19" t="s">
        <v>11</v>
      </c>
      <c r="H19">
        <v>257</v>
      </c>
      <c r="I19">
        <v>18</v>
      </c>
      <c r="J19" s="1">
        <v>1.387728224879839</v>
      </c>
      <c r="K19" s="1">
        <v>1.2351468309981499</v>
      </c>
      <c r="L19" s="1">
        <v>1.238349502361914</v>
      </c>
      <c r="M19" s="3">
        <f t="shared" si="0"/>
        <v>4</v>
      </c>
    </row>
    <row r="20" spans="1:13" x14ac:dyDescent="0.2">
      <c r="A20" t="s">
        <v>6</v>
      </c>
      <c r="B20">
        <v>262</v>
      </c>
      <c r="C20" s="3">
        <v>19</v>
      </c>
      <c r="D20" s="1">
        <v>1.19118652367685</v>
      </c>
      <c r="E20" s="1">
        <v>0.91205460169296304</v>
      </c>
      <c r="F20" s="1">
        <v>1.067536880801097</v>
      </c>
      <c r="G20" t="s">
        <v>6</v>
      </c>
      <c r="H20">
        <v>276</v>
      </c>
      <c r="I20">
        <v>19</v>
      </c>
      <c r="J20" s="1">
        <v>1.4891842569567999</v>
      </c>
      <c r="K20" s="1">
        <v>1.116972853913305</v>
      </c>
      <c r="L20" s="1">
        <v>1.252561486793637</v>
      </c>
      <c r="M20" s="3">
        <f t="shared" si="0"/>
        <v>0</v>
      </c>
    </row>
    <row r="21" spans="1:13" x14ac:dyDescent="0.2">
      <c r="A21" t="s">
        <v>5</v>
      </c>
      <c r="B21">
        <v>152</v>
      </c>
      <c r="C21" s="3">
        <v>20</v>
      </c>
      <c r="D21" s="1">
        <v>1.658204279897008</v>
      </c>
      <c r="E21" s="1">
        <v>1.398959615848349</v>
      </c>
      <c r="F21" s="1">
        <v>1.3023351351298711</v>
      </c>
      <c r="G21" t="s">
        <v>5</v>
      </c>
      <c r="H21">
        <v>282</v>
      </c>
      <c r="I21">
        <v>20</v>
      </c>
      <c r="J21" s="1">
        <v>1.604745528775654</v>
      </c>
      <c r="K21" s="1">
        <v>1.4272025470463841</v>
      </c>
      <c r="L21" s="1">
        <v>1.4146275350336399</v>
      </c>
      <c r="M21" s="3">
        <f t="shared" si="0"/>
        <v>0</v>
      </c>
    </row>
    <row r="22" spans="1:13" x14ac:dyDescent="0.2">
      <c r="A22" t="s">
        <v>9</v>
      </c>
      <c r="B22">
        <v>229</v>
      </c>
      <c r="C22" s="3">
        <v>21</v>
      </c>
      <c r="D22" s="1">
        <v>1.573291802574275</v>
      </c>
      <c r="E22" s="1">
        <v>1.38448112261975</v>
      </c>
      <c r="F22" s="1">
        <v>1.35619691416844</v>
      </c>
      <c r="G22" t="s">
        <v>9</v>
      </c>
      <c r="H22">
        <v>243</v>
      </c>
      <c r="I22">
        <v>21</v>
      </c>
      <c r="J22" s="1">
        <v>1.7227769806201441</v>
      </c>
      <c r="K22" s="1">
        <v>1.4908003657362789</v>
      </c>
      <c r="L22" s="1">
        <v>1.457835258182488</v>
      </c>
      <c r="M22" s="3">
        <f t="shared" si="0"/>
        <v>0</v>
      </c>
    </row>
    <row r="23" spans="1:13" x14ac:dyDescent="0.2">
      <c r="A23" t="s">
        <v>20</v>
      </c>
      <c r="B23">
        <v>330</v>
      </c>
      <c r="C23" s="3">
        <v>24</v>
      </c>
      <c r="D23" s="1">
        <v>1.8601334766600339</v>
      </c>
      <c r="E23" s="1">
        <v>1.644259566462015</v>
      </c>
      <c r="F23" s="1">
        <v>1.692894441105</v>
      </c>
      <c r="G23" t="s">
        <v>20</v>
      </c>
      <c r="H23">
        <v>355</v>
      </c>
      <c r="I23">
        <v>22</v>
      </c>
      <c r="J23" s="1">
        <v>1.7481718130614969</v>
      </c>
      <c r="K23" s="1">
        <v>1.4436553933220171</v>
      </c>
      <c r="L23" s="1">
        <v>1.546548993727648</v>
      </c>
      <c r="M23" s="3">
        <f t="shared" si="0"/>
        <v>4</v>
      </c>
    </row>
    <row r="24" spans="1:13" x14ac:dyDescent="0.2">
      <c r="A24" t="s">
        <v>22</v>
      </c>
      <c r="B24">
        <v>262</v>
      </c>
      <c r="C24" s="3">
        <v>23</v>
      </c>
      <c r="D24" s="1">
        <v>2.1064346848772622</v>
      </c>
      <c r="E24" s="1">
        <v>1.7267589589830701</v>
      </c>
      <c r="F24" s="1">
        <v>1.6719055113110419</v>
      </c>
      <c r="G24" t="s">
        <v>22</v>
      </c>
      <c r="H24">
        <v>227</v>
      </c>
      <c r="I24">
        <v>23</v>
      </c>
      <c r="J24" s="1">
        <v>2.6616607172359021</v>
      </c>
      <c r="K24" s="1">
        <v>2.11858483093856</v>
      </c>
      <c r="L24" s="1">
        <v>1.8159720399829939</v>
      </c>
      <c r="M24" s="3">
        <f t="shared" si="0"/>
        <v>0</v>
      </c>
    </row>
    <row r="25" spans="1:13" x14ac:dyDescent="0.2">
      <c r="A25" t="s">
        <v>10</v>
      </c>
      <c r="B25">
        <v>298</v>
      </c>
      <c r="C25" s="3">
        <v>25</v>
      </c>
      <c r="D25" s="1">
        <v>1.877521913022155</v>
      </c>
      <c r="E25" s="1">
        <v>1.6463452714865701</v>
      </c>
      <c r="F25" s="1">
        <v>1.7336025722306689</v>
      </c>
      <c r="G25" t="s">
        <v>10</v>
      </c>
      <c r="H25">
        <v>278</v>
      </c>
      <c r="I25">
        <v>24</v>
      </c>
      <c r="J25" s="1">
        <v>2.0426960286209881</v>
      </c>
      <c r="K25" s="1">
        <v>1.775749234501071</v>
      </c>
      <c r="L25" s="1">
        <v>1.831794144298533</v>
      </c>
      <c r="M25" s="3">
        <f t="shared" si="0"/>
        <v>1</v>
      </c>
    </row>
    <row r="26" spans="1:13" x14ac:dyDescent="0.2">
      <c r="A26" t="s">
        <v>12</v>
      </c>
      <c r="B26">
        <v>205</v>
      </c>
      <c r="C26" s="3">
        <v>22</v>
      </c>
      <c r="D26" s="1">
        <v>1.6574218813196699</v>
      </c>
      <c r="E26" s="1">
        <v>1.492882092778165</v>
      </c>
      <c r="F26" s="1">
        <v>1.5061694824952461</v>
      </c>
      <c r="G26" t="s">
        <v>12</v>
      </c>
      <c r="H26">
        <v>211</v>
      </c>
      <c r="I26">
        <v>25</v>
      </c>
      <c r="J26" s="1">
        <v>2.251219863592294</v>
      </c>
      <c r="K26" s="1">
        <v>1.978862200226126</v>
      </c>
      <c r="L26" s="1">
        <v>2.005503652452421</v>
      </c>
      <c r="M26" s="3">
        <f t="shared" si="0"/>
        <v>9</v>
      </c>
    </row>
    <row r="27" spans="1:13" x14ac:dyDescent="0.2">
      <c r="A27" t="s">
        <v>19</v>
      </c>
      <c r="B27">
        <v>157</v>
      </c>
      <c r="C27" s="3">
        <v>26</v>
      </c>
      <c r="D27" s="1">
        <v>2.6807846094910048</v>
      </c>
      <c r="E27" s="1">
        <v>2.625210211239664</v>
      </c>
      <c r="F27" s="1">
        <v>2.5635508576971899</v>
      </c>
      <c r="G27" t="s">
        <v>19</v>
      </c>
      <c r="H27">
        <v>308</v>
      </c>
      <c r="I27">
        <v>26</v>
      </c>
      <c r="J27" s="1">
        <v>3.5110562794441251</v>
      </c>
      <c r="K27" s="1">
        <v>3.3017124659265078</v>
      </c>
      <c r="L27" s="1">
        <v>3.1064900696401359</v>
      </c>
      <c r="M27" s="3">
        <f t="shared" si="0"/>
        <v>0</v>
      </c>
    </row>
  </sheetData>
  <autoFilter ref="A1:M31" xr:uid="{87791574-25EF-DE4B-90F0-6CE3F6682B8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2025-11-13T01:15:06Z</dcterms:created>
  <dcterms:modified xsi:type="dcterms:W3CDTF">2025-11-13T21:07:52Z</dcterms:modified>
</cp:coreProperties>
</file>