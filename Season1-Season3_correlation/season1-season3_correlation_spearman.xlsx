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season1-season3_correlation/"/>
    </mc:Choice>
  </mc:AlternateContent>
  <xr:revisionPtr revIDLastSave="0" documentId="13_ncr:1_{7EDD4C91-9B7A-314A-80AE-FA0CDBB8C2A5}" xr6:coauthVersionLast="47" xr6:coauthVersionMax="47" xr10:uidLastSave="{00000000-0000-0000-0000-000000000000}"/>
  <bookViews>
    <workbookView xWindow="1060" yWindow="500" windowWidth="37240" windowHeight="21100" xr2:uid="{66C016B3-282B-AC49-9BEB-00834ADB606F}"/>
  </bookViews>
  <sheets>
    <sheet name="Sheet1" sheetId="1" r:id="rId1"/>
  </sheets>
  <definedNames>
    <definedName name="_xlnm._FilterDatabase" localSheetId="0" hidden="1">Sheet1!$A$1:$O$31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 a="1"/>
  <c r="Q5" i="1" s="1"/>
  <c r="R5" i="1" s="1"/>
  <c r="S5" i="1" s="1"/>
  <c r="S4" i="1" a="1"/>
  <c r="S4" i="1" s="1"/>
  <c r="O14" i="1"/>
  <c r="O6" i="1"/>
  <c r="O13" i="1"/>
  <c r="O17" i="1"/>
  <c r="O15" i="1"/>
  <c r="O8" i="1"/>
  <c r="O12" i="1"/>
  <c r="O20" i="1"/>
  <c r="O21" i="1"/>
  <c r="O22" i="1"/>
  <c r="O16" i="1"/>
  <c r="O24" i="1"/>
  <c r="O9" i="1"/>
  <c r="O2" i="1"/>
  <c r="Q4" i="1" s="1"/>
  <c r="R4" i="1" s="1"/>
  <c r="O4" i="1"/>
  <c r="O18" i="1"/>
  <c r="O11" i="1"/>
  <c r="O3" i="1"/>
  <c r="O10" i="1"/>
  <c r="O26" i="1"/>
  <c r="O23" i="1"/>
  <c r="O5" i="1"/>
  <c r="O19" i="1"/>
  <c r="O7" i="1"/>
  <c r="O25" i="1"/>
  <c r="O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<sst xmlns="http://schemas.openxmlformats.org/spreadsheetml/2006/main" count="126" uniqueCount="55">
  <si>
    <t>Bensonhurst</t>
  </si>
  <si>
    <t>Central Park</t>
  </si>
  <si>
    <t>Coney Island</t>
  </si>
  <si>
    <t>Corona Park</t>
  </si>
  <si>
    <t>Eltingville</t>
  </si>
  <si>
    <t>Flatiron</t>
  </si>
  <si>
    <t>Fresh Pond</t>
  </si>
  <si>
    <t>Fulton Street</t>
  </si>
  <si>
    <t>Grand Army Plaza</t>
  </si>
  <si>
    <t>Grand Concourse</t>
  </si>
  <si>
    <t>Houston Street</t>
  </si>
  <si>
    <t>Jamaica</t>
  </si>
  <si>
    <t>Jay Street</t>
  </si>
  <si>
    <t>Mott Haven</t>
  </si>
  <si>
    <t>Prospect Park</t>
  </si>
  <si>
    <t>Queens Plaza</t>
  </si>
  <si>
    <t>Rego Park</t>
  </si>
  <si>
    <t>Roosevelt Avenue</t>
  </si>
  <si>
    <t>St George</t>
  </si>
  <si>
    <t>Times Square</t>
  </si>
  <si>
    <t>Upper East Side</t>
  </si>
  <si>
    <t>Upper West Side</t>
  </si>
  <si>
    <t>Wall Street</t>
  </si>
  <si>
    <t>West Harlem</t>
  </si>
  <si>
    <t>Willowbrook Park</t>
  </si>
  <si>
    <t>Woodlawn</t>
  </si>
  <si>
    <t>location 1</t>
  </si>
  <si>
    <t>N 1</t>
  </si>
  <si>
    <t>Total MEAN 1</t>
  </si>
  <si>
    <t>Total GEOMEAN 1</t>
  </si>
  <si>
    <t>Total MEDIAN 1</t>
  </si>
  <si>
    <t>location 3</t>
  </si>
  <si>
    <t>N 3</t>
  </si>
  <si>
    <t>Total MEAN 3</t>
  </si>
  <si>
    <t>Total GEOMEAN 3</t>
  </si>
  <si>
    <t>Total MEDIAN 3</t>
  </si>
  <si>
    <t>rank 1</t>
  </si>
  <si>
    <t>rank 3</t>
  </si>
  <si>
    <t>r</t>
  </si>
  <si>
    <t>p</t>
  </si>
  <si>
    <t>student's t test</t>
  </si>
  <si>
    <t>dr^2</t>
  </si>
  <si>
    <t>t</t>
  </si>
  <si>
    <t>&lt;&lt;0.05</t>
  </si>
  <si>
    <t>SI</t>
  </si>
  <si>
    <t>G</t>
  </si>
  <si>
    <t>R</t>
  </si>
  <si>
    <t>BK</t>
  </si>
  <si>
    <t>Q</t>
  </si>
  <si>
    <t>C</t>
  </si>
  <si>
    <t>BX</t>
  </si>
  <si>
    <t>M</t>
  </si>
  <si>
    <t xml:space="preserve">Spearman Rank Correlation </t>
  </si>
  <si>
    <t>coefficient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</si>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</sst>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7198652407255"/>
          <c:y val="9.7094240837696341E-2"/>
          <c:w val="0.79856794766325834"/>
          <c:h val="0.79006987673661211"/>
        </c:manualLayout>
      </c:layout>
      <c:scatterChart>
        <c:scatterStyle val="lineMarker"/>
        <c:varyColors val="0"/>
        <c:ser>
          <c:idx val="5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362019671160374"/>
                  <c:y val="-8.4201314007723557E-2"/>
                </c:manualLayout>
              </c:layout>
              <c:numFmt formatCode="General" sourceLinked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Sheet1!$F$2:$F$27</c:f>
              <c:numCache>
                <c:formatCode>0.0000</c:formatCode>
                <c:ptCount val="26"/>
                <c:pt idx="0">
                  <c:v>1.3007718311451011</c:v>
                </c:pt>
                <c:pt idx="1">
                  <c:v>0.45840160075043851</c:v>
                </c:pt>
                <c:pt idx="2">
                  <c:v>1.0248347780598861</c:v>
                </c:pt>
                <c:pt idx="3">
                  <c:v>0.45314440575331821</c:v>
                </c:pt>
                <c:pt idx="4">
                  <c:v>1.6574218813196699</c:v>
                </c:pt>
                <c:pt idx="5">
                  <c:v>0.2776890425367371</c:v>
                </c:pt>
                <c:pt idx="6">
                  <c:v>1.573291802574275</c:v>
                </c:pt>
                <c:pt idx="7">
                  <c:v>0.72335920211115157</c:v>
                </c:pt>
                <c:pt idx="8">
                  <c:v>0.5350493604549813</c:v>
                </c:pt>
                <c:pt idx="9">
                  <c:v>0.56206489746281751</c:v>
                </c:pt>
                <c:pt idx="10">
                  <c:v>1.658204279897008</c:v>
                </c:pt>
                <c:pt idx="11">
                  <c:v>1.877521913022155</c:v>
                </c:pt>
                <c:pt idx="12">
                  <c:v>2.6807846094910048</c:v>
                </c:pt>
                <c:pt idx="13">
                  <c:v>1.8601334766600339</c:v>
                </c:pt>
                <c:pt idx="14">
                  <c:v>1.108991998213724</c:v>
                </c:pt>
                <c:pt idx="15">
                  <c:v>2.1064346848772622</c:v>
                </c:pt>
                <c:pt idx="16">
                  <c:v>0.74891939042876754</c:v>
                </c:pt>
                <c:pt idx="17">
                  <c:v>0.44968575145210993</c:v>
                </c:pt>
                <c:pt idx="18">
                  <c:v>1.19118652367685</c:v>
                </c:pt>
                <c:pt idx="19">
                  <c:v>1.0715567908783279</c:v>
                </c:pt>
                <c:pt idx="20">
                  <c:v>1.152032583281414</c:v>
                </c:pt>
                <c:pt idx="21">
                  <c:v>0.41143132400958149</c:v>
                </c:pt>
                <c:pt idx="22">
                  <c:v>0.91338630420786171</c:v>
                </c:pt>
                <c:pt idx="23">
                  <c:v>0.26545515660832297</c:v>
                </c:pt>
                <c:pt idx="24">
                  <c:v>0.50697649252722654</c:v>
                </c:pt>
                <c:pt idx="25">
                  <c:v>0.14836033327868081</c:v>
                </c:pt>
              </c:numCache>
            </c:numRef>
          </c:xVal>
          <c:yVal>
            <c:numRef>
              <c:f>Sheet1!$L$2:$L$27</c:f>
              <c:numCache>
                <c:formatCode>0.0000</c:formatCode>
                <c:ptCount val="26"/>
                <c:pt idx="0">
                  <c:v>1.274862366220167</c:v>
                </c:pt>
                <c:pt idx="1">
                  <c:v>0.64387947859494465</c:v>
                </c:pt>
                <c:pt idx="2">
                  <c:v>1.0143085758472741</c:v>
                </c:pt>
                <c:pt idx="3">
                  <c:v>0.45922394622557972</c:v>
                </c:pt>
                <c:pt idx="4">
                  <c:v>2.251219863592294</c:v>
                </c:pt>
                <c:pt idx="5">
                  <c:v>0.31221691763301329</c:v>
                </c:pt>
                <c:pt idx="6">
                  <c:v>1.7227769806201441</c:v>
                </c:pt>
                <c:pt idx="7">
                  <c:v>1.372777961372242</c:v>
                </c:pt>
                <c:pt idx="8">
                  <c:v>0.56348835446173273</c:v>
                </c:pt>
                <c:pt idx="9">
                  <c:v>0.7683876328285435</c:v>
                </c:pt>
                <c:pt idx="10">
                  <c:v>1.604745528775654</c:v>
                </c:pt>
                <c:pt idx="11">
                  <c:v>2.0426960286209881</c:v>
                </c:pt>
                <c:pt idx="12">
                  <c:v>3.5110562794441251</c:v>
                </c:pt>
                <c:pt idx="13">
                  <c:v>1.7481718130614969</c:v>
                </c:pt>
                <c:pt idx="14">
                  <c:v>1.1308000315827089</c:v>
                </c:pt>
                <c:pt idx="15">
                  <c:v>2.6616607172359021</c:v>
                </c:pt>
                <c:pt idx="16">
                  <c:v>1.007539094766327</c:v>
                </c:pt>
                <c:pt idx="17">
                  <c:v>0.42776072983211633</c:v>
                </c:pt>
                <c:pt idx="18">
                  <c:v>1.4891842569567999</c:v>
                </c:pt>
                <c:pt idx="19">
                  <c:v>1.387728224879839</c:v>
                </c:pt>
                <c:pt idx="20">
                  <c:v>1.232788276056983</c:v>
                </c:pt>
                <c:pt idx="21">
                  <c:v>0.47671454056946377</c:v>
                </c:pt>
                <c:pt idx="22">
                  <c:v>1.1067066908350689</c:v>
                </c:pt>
                <c:pt idx="23">
                  <c:v>0.3571848265939816</c:v>
                </c:pt>
                <c:pt idx="24">
                  <c:v>0.58286751800008585</c:v>
                </c:pt>
                <c:pt idx="25">
                  <c:v>0.10619274483585089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403-7147-BC33-549BC4B480A6}"/>
            </c:ext>
          </c:extLst>
        </c:ser>
        <c:ser>
          <c:idx val="0"/>
          <c:order val="1"/>
          <c:tx>
            <c:strRef>
              <c:f>Sheet1!$B$2</c:f>
              <c:strCache>
                <c:ptCount val="1"/>
                <c:pt idx="0">
                  <c:v>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Sheet1!$F$2:$F$7</c:f>
              <c:numCache>
                <c:formatCode>0.0000</c:formatCode>
                <c:ptCount val="6"/>
                <c:pt idx="0">
                  <c:v>1.3007718311451011</c:v>
                </c:pt>
                <c:pt idx="1">
                  <c:v>0.45840160075043851</c:v>
                </c:pt>
                <c:pt idx="2">
                  <c:v>1.0248347780598861</c:v>
                </c:pt>
                <c:pt idx="3">
                  <c:v>0.45314440575331821</c:v>
                </c:pt>
                <c:pt idx="4">
                  <c:v>1.6574218813196699</c:v>
                </c:pt>
                <c:pt idx="5">
                  <c:v>0.2776890425367371</c:v>
                </c:pt>
              </c:numCache>
            </c:numRef>
          </c:xVal>
          <c:yVal>
            <c:numRef>
              <c:f>Sheet1!$L$2:$L$7</c:f>
              <c:numCache>
                <c:formatCode>0.0000</c:formatCode>
                <c:ptCount val="6"/>
                <c:pt idx="0">
                  <c:v>1.274862366220167</c:v>
                </c:pt>
                <c:pt idx="1">
                  <c:v>0.64387947859494465</c:v>
                </c:pt>
                <c:pt idx="2">
                  <c:v>1.0143085758472741</c:v>
                </c:pt>
                <c:pt idx="3">
                  <c:v>0.45922394622557972</c:v>
                </c:pt>
                <c:pt idx="4">
                  <c:v>2.251219863592294</c:v>
                </c:pt>
                <c:pt idx="5">
                  <c:v>0.31221691763301329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0-4641-A5F2-D99A2C329645}"/>
            </c:ext>
          </c:extLst>
        </c:ser>
        <c:ser>
          <c:idx val="1"/>
          <c:order val="2"/>
          <c:tx>
            <c:strRef>
              <c:f>Sheet1!$B$11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Sheet1!$F$11:$F$18</c:f>
              <c:numCache>
                <c:formatCode>0.0000</c:formatCode>
                <c:ptCount val="8"/>
                <c:pt idx="0">
                  <c:v>0.56206489746281751</c:v>
                </c:pt>
                <c:pt idx="1">
                  <c:v>1.658204279897008</c:v>
                </c:pt>
                <c:pt idx="2">
                  <c:v>1.877521913022155</c:v>
                </c:pt>
                <c:pt idx="3">
                  <c:v>2.6807846094910048</c:v>
                </c:pt>
                <c:pt idx="4">
                  <c:v>1.8601334766600339</c:v>
                </c:pt>
                <c:pt idx="5">
                  <c:v>1.108991998213724</c:v>
                </c:pt>
                <c:pt idx="6">
                  <c:v>2.1064346848772622</c:v>
                </c:pt>
                <c:pt idx="7">
                  <c:v>0.74891939042876754</c:v>
                </c:pt>
              </c:numCache>
            </c:numRef>
          </c:xVal>
          <c:yVal>
            <c:numRef>
              <c:f>Sheet1!$L$11:$L$18</c:f>
              <c:numCache>
                <c:formatCode>0.0000</c:formatCode>
                <c:ptCount val="8"/>
                <c:pt idx="0">
                  <c:v>0.7683876328285435</c:v>
                </c:pt>
                <c:pt idx="1">
                  <c:v>1.604745528775654</c:v>
                </c:pt>
                <c:pt idx="2">
                  <c:v>2.0426960286209881</c:v>
                </c:pt>
                <c:pt idx="3">
                  <c:v>3.5110562794441251</c:v>
                </c:pt>
                <c:pt idx="4">
                  <c:v>1.7481718130614969</c:v>
                </c:pt>
                <c:pt idx="5">
                  <c:v>1.1308000315827089</c:v>
                </c:pt>
                <c:pt idx="6">
                  <c:v>2.6616607172359021</c:v>
                </c:pt>
                <c:pt idx="7">
                  <c:v>1.007539094766327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03-7147-BC33-549BC4B480A6}"/>
            </c:ext>
          </c:extLst>
        </c:ser>
        <c:ser>
          <c:idx val="2"/>
          <c:order val="3"/>
          <c:tx>
            <c:strRef>
              <c:f>Sheet1!$B$8</c:f>
              <c:strCache>
                <c:ptCount val="1"/>
                <c:pt idx="0">
                  <c:v>BX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Sheet1!$F$8:$F$10</c:f>
              <c:numCache>
                <c:formatCode>0.0000</c:formatCode>
                <c:ptCount val="3"/>
                <c:pt idx="0">
                  <c:v>1.573291802574275</c:v>
                </c:pt>
                <c:pt idx="1">
                  <c:v>0.72335920211115157</c:v>
                </c:pt>
                <c:pt idx="2">
                  <c:v>0.5350493604549813</c:v>
                </c:pt>
              </c:numCache>
            </c:numRef>
          </c:xVal>
          <c:yVal>
            <c:numRef>
              <c:f>Sheet1!$L$8:$L$10</c:f>
              <c:numCache>
                <c:formatCode>0.0000</c:formatCode>
                <c:ptCount val="3"/>
                <c:pt idx="0">
                  <c:v>1.7227769806201441</c:v>
                </c:pt>
                <c:pt idx="1">
                  <c:v>1.372777961372242</c:v>
                </c:pt>
                <c:pt idx="2">
                  <c:v>0.56348835446173273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403-7147-BC33-549BC4B480A6}"/>
            </c:ext>
          </c:extLst>
        </c:ser>
        <c:ser>
          <c:idx val="3"/>
          <c:order val="4"/>
          <c:tx>
            <c:strRef>
              <c:f>Sheet1!$B$19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Sheet1!$F$19:$F$24</c:f>
              <c:numCache>
                <c:formatCode>0.0000</c:formatCode>
                <c:ptCount val="6"/>
                <c:pt idx="0">
                  <c:v>0.44968575145210993</c:v>
                </c:pt>
                <c:pt idx="1">
                  <c:v>1.19118652367685</c:v>
                </c:pt>
                <c:pt idx="2">
                  <c:v>1.0715567908783279</c:v>
                </c:pt>
                <c:pt idx="3">
                  <c:v>1.152032583281414</c:v>
                </c:pt>
                <c:pt idx="4">
                  <c:v>0.41143132400958149</c:v>
                </c:pt>
                <c:pt idx="5">
                  <c:v>0.91338630420786171</c:v>
                </c:pt>
              </c:numCache>
            </c:numRef>
          </c:xVal>
          <c:yVal>
            <c:numRef>
              <c:f>Sheet1!$L$19:$L$24</c:f>
              <c:numCache>
                <c:formatCode>0.0000</c:formatCode>
                <c:ptCount val="6"/>
                <c:pt idx="0">
                  <c:v>0.42776072983211633</c:v>
                </c:pt>
                <c:pt idx="1">
                  <c:v>1.4891842569567999</c:v>
                </c:pt>
                <c:pt idx="2">
                  <c:v>1.387728224879839</c:v>
                </c:pt>
                <c:pt idx="3">
                  <c:v>1.232788276056983</c:v>
                </c:pt>
                <c:pt idx="4">
                  <c:v>0.47671454056946377</c:v>
                </c:pt>
                <c:pt idx="5">
                  <c:v>1.1067066908350689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403-7147-BC33-549BC4B480A6}"/>
            </c:ext>
          </c:extLst>
        </c:ser>
        <c:ser>
          <c:idx val="4"/>
          <c:order val="5"/>
          <c:tx>
            <c:strRef>
              <c:f>Sheet1!$B$25</c:f>
              <c:strCache>
                <c:ptCount val="1"/>
                <c:pt idx="0">
                  <c:v>SI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Sheet1!$F$25:$F$27</c:f>
              <c:numCache>
                <c:formatCode>0.0000</c:formatCode>
                <c:ptCount val="3"/>
                <c:pt idx="0">
                  <c:v>0.26545515660832297</c:v>
                </c:pt>
                <c:pt idx="1">
                  <c:v>0.50697649252722654</c:v>
                </c:pt>
                <c:pt idx="2">
                  <c:v>0.14836033327868081</c:v>
                </c:pt>
              </c:numCache>
            </c:numRef>
          </c:xVal>
          <c:yVal>
            <c:numRef>
              <c:f>Sheet1!$L$25:$L$27</c:f>
              <c:numCache>
                <c:formatCode>0.0000</c:formatCode>
                <c:ptCount val="3"/>
                <c:pt idx="0">
                  <c:v>0.3571848265939816</c:v>
                </c:pt>
                <c:pt idx="1">
                  <c:v>0.58286751800008585</c:v>
                </c:pt>
                <c:pt idx="2">
                  <c:v>0.10619274483585089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403-7147-BC33-549BC4B48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5007"/>
        <c:axId val="156686799"/>
      </c:scatterChart>
      <c:valAx>
        <c:axId val="15668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799"/>
        <c:crosses val="autoZero"/>
        <c:crossBetween val="midCat"/>
      </c:valAx>
      <c:valAx>
        <c:axId val="1566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3345448152705939"/>
          <c:y val="0.5484221876724007"/>
          <c:w val="0.17969011938023877"/>
          <c:h val="0.32245448618285771"/>
        </c:manualLayout>
      </c:layout>
      <c:overlay val="0"/>
      <c:spPr>
        <a:solidFill>
          <a:schemeClr val="l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Wilcoxon</a:t>
            </a:r>
            <a:r>
              <a:rPr lang="en-US" baseline="0"/>
              <a:t> ranked correlation test: duplicated measurements for rounds 1 &amp; 2</a:t>
            </a:r>
            <a:endParaRPr lang="en-US"/>
          </a:p>
        </c:rich>
      </c:tx>
      <c:layout>
        <c:manualLayout>
          <c:xMode val="edge"/>
          <c:yMode val="edge"/>
          <c:x val="0.19532048510385983"/>
          <c:y val="4.0366970727430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19753171598347E-2"/>
          <c:y val="0.1058288673974865"/>
          <c:w val="0.8754449724452571"/>
          <c:h val="0.7751010681268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rank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193719760933499"/>
                  <c:y val="-3.136516034953715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ln>
                          <a:noFill/>
                        </a:ln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ln>
                          <a:noFill/>
                        </a:ln>
                      </a:rPr>
                      <a:t>y = 0.9733x + 0.36</a:t>
                    </a:r>
                    <a:br>
                      <a:rPr lang="en-US" sz="1200" baseline="0">
                        <a:ln>
                          <a:noFill/>
                        </a:ln>
                      </a:rPr>
                    </a:br>
                    <a:r>
                      <a:rPr lang="en-US" sz="1200" baseline="0">
                        <a:ln>
                          <a:noFill/>
                        </a:ln>
                      </a:rPr>
                      <a:t>R² = 0.9474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Sheet1!$E$2:$E$27</c:f>
              <c:numCache>
                <c:formatCode>0</c:formatCode>
                <c:ptCount val="26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7</c:v>
                </c:pt>
                <c:pt idx="4">
                  <c:v>22</c:v>
                </c:pt>
                <c:pt idx="5">
                  <c:v>3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20</c:v>
                </c:pt>
                <c:pt idx="11">
                  <c:v>25</c:v>
                </c:pt>
                <c:pt idx="12">
                  <c:v>26</c:v>
                </c:pt>
                <c:pt idx="13">
                  <c:v>24</c:v>
                </c:pt>
                <c:pt idx="14">
                  <c:v>18</c:v>
                </c:pt>
                <c:pt idx="15">
                  <c:v>23</c:v>
                </c:pt>
                <c:pt idx="16">
                  <c:v>12</c:v>
                </c:pt>
                <c:pt idx="17">
                  <c:v>4</c:v>
                </c:pt>
                <c:pt idx="18">
                  <c:v>19</c:v>
                </c:pt>
                <c:pt idx="19">
                  <c:v>16</c:v>
                </c:pt>
                <c:pt idx="20">
                  <c:v>17</c:v>
                </c:pt>
                <c:pt idx="21">
                  <c:v>5</c:v>
                </c:pt>
                <c:pt idx="22">
                  <c:v>14</c:v>
                </c:pt>
                <c:pt idx="23">
                  <c:v>2</c:v>
                </c:pt>
                <c:pt idx="24">
                  <c:v>8</c:v>
                </c:pt>
                <c:pt idx="25">
                  <c:v>1</c:v>
                </c:pt>
              </c:numCache>
            </c:numRef>
          </c:xVal>
          <c:yVal>
            <c:numRef>
              <c:f>Sheet1!$K$2:$K$27</c:f>
              <c:numCache>
                <c:formatCode>General</c:formatCode>
                <c:ptCount val="26"/>
                <c:pt idx="0">
                  <c:v>13</c:v>
                </c:pt>
                <c:pt idx="1">
                  <c:v>9</c:v>
                </c:pt>
                <c:pt idx="2">
                  <c:v>12</c:v>
                </c:pt>
                <c:pt idx="3">
                  <c:v>5</c:v>
                </c:pt>
                <c:pt idx="4">
                  <c:v>25</c:v>
                </c:pt>
                <c:pt idx="5">
                  <c:v>3</c:v>
                </c:pt>
                <c:pt idx="6">
                  <c:v>21</c:v>
                </c:pt>
                <c:pt idx="7">
                  <c:v>14</c:v>
                </c:pt>
                <c:pt idx="8">
                  <c:v>8</c:v>
                </c:pt>
                <c:pt idx="9">
                  <c:v>10</c:v>
                </c:pt>
                <c:pt idx="10">
                  <c:v>20</c:v>
                </c:pt>
                <c:pt idx="11">
                  <c:v>24</c:v>
                </c:pt>
                <c:pt idx="12">
                  <c:v>26</c:v>
                </c:pt>
                <c:pt idx="13">
                  <c:v>22</c:v>
                </c:pt>
                <c:pt idx="14">
                  <c:v>16</c:v>
                </c:pt>
                <c:pt idx="15">
                  <c:v>23</c:v>
                </c:pt>
                <c:pt idx="16">
                  <c:v>11</c:v>
                </c:pt>
                <c:pt idx="17">
                  <c:v>4</c:v>
                </c:pt>
                <c:pt idx="18">
                  <c:v>19</c:v>
                </c:pt>
                <c:pt idx="19">
                  <c:v>18</c:v>
                </c:pt>
                <c:pt idx="20">
                  <c:v>17</c:v>
                </c:pt>
                <c:pt idx="21">
                  <c:v>6</c:v>
                </c:pt>
                <c:pt idx="22">
                  <c:v>15</c:v>
                </c:pt>
                <c:pt idx="23">
                  <c:v>2</c:v>
                </c:pt>
                <c:pt idx="24">
                  <c:v>7</c:v>
                </c:pt>
                <c:pt idx="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E-2B41-AC60-43A404AA6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0111"/>
        <c:axId val="156424463"/>
      </c:scatterChart>
      <c:valAx>
        <c:axId val="15663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en-US" sz="12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Ranked mean field values for 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4463"/>
        <c:crosses val="autoZero"/>
        <c:crossBetween val="midCat"/>
      </c:valAx>
      <c:valAx>
        <c:axId val="1564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Ranked mean field values for round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MEDIANs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18185947910361E-2"/>
          <c:y val="0.15123426450674557"/>
          <c:w val="0.79856794766325834"/>
          <c:h val="0.79006987673661211"/>
        </c:manualLayout>
      </c:layout>
      <c:scatterChart>
        <c:scatterStyle val="lineMarker"/>
        <c:varyColors val="0"/>
        <c:ser>
          <c:idx val="5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255129466989703"/>
                  <c:y val="-8.437785244997241E-2"/>
                </c:manualLayout>
              </c:layout>
              <c:numFmt formatCode="General" sourceLinked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Sheet1!$H$2:$H$27</c:f>
              <c:numCache>
                <c:formatCode>0.0000</c:formatCode>
                <c:ptCount val="26"/>
                <c:pt idx="0">
                  <c:v>0.83668953957674308</c:v>
                </c:pt>
                <c:pt idx="1">
                  <c:v>0.33526780340497953</c:v>
                </c:pt>
                <c:pt idx="2">
                  <c:v>0.82562021112587591</c:v>
                </c:pt>
                <c:pt idx="3">
                  <c:v>0.336480920707252</c:v>
                </c:pt>
                <c:pt idx="4">
                  <c:v>1.5061694824952461</c:v>
                </c:pt>
                <c:pt idx="5">
                  <c:v>0.17852389195847149</c:v>
                </c:pt>
                <c:pt idx="6">
                  <c:v>1.35619691416844</c:v>
                </c:pt>
                <c:pt idx="7">
                  <c:v>0.47550039126975158</c:v>
                </c:pt>
                <c:pt idx="8">
                  <c:v>0.48820047296329178</c:v>
                </c:pt>
                <c:pt idx="9">
                  <c:v>0.48450363259732088</c:v>
                </c:pt>
                <c:pt idx="10">
                  <c:v>1.3023351351298711</c:v>
                </c:pt>
                <c:pt idx="11">
                  <c:v>1.7336025722306689</c:v>
                </c:pt>
                <c:pt idx="12">
                  <c:v>2.5635508576971899</c:v>
                </c:pt>
                <c:pt idx="13">
                  <c:v>1.692894441105</c:v>
                </c:pt>
                <c:pt idx="14">
                  <c:v>1.0620060068188719</c:v>
                </c:pt>
                <c:pt idx="15">
                  <c:v>1.6719055113110419</c:v>
                </c:pt>
                <c:pt idx="16">
                  <c:v>0.5555892547557052</c:v>
                </c:pt>
                <c:pt idx="17">
                  <c:v>0.21956550275487269</c:v>
                </c:pt>
                <c:pt idx="18">
                  <c:v>1.067536880801097</c:v>
                </c:pt>
                <c:pt idx="19">
                  <c:v>0.92562293039515342</c:v>
                </c:pt>
                <c:pt idx="20">
                  <c:v>1.0121508978408309</c:v>
                </c:pt>
                <c:pt idx="21">
                  <c:v>0.30362552593614389</c:v>
                </c:pt>
                <c:pt idx="22">
                  <c:v>0.83218159022111893</c:v>
                </c:pt>
                <c:pt idx="23">
                  <c:v>0.10405397637764729</c:v>
                </c:pt>
                <c:pt idx="24">
                  <c:v>0.39345450817089361</c:v>
                </c:pt>
                <c:pt idx="25">
                  <c:v>9.7055680662052821E-2</c:v>
                </c:pt>
              </c:numCache>
            </c:numRef>
          </c:xVal>
          <c:yVal>
            <c:numRef>
              <c:f>Sheet1!$N$2:$N$27</c:f>
              <c:numCache>
                <c:formatCode>0.0000</c:formatCode>
                <c:ptCount val="26"/>
                <c:pt idx="0">
                  <c:v>0.79510738897333866</c:v>
                </c:pt>
                <c:pt idx="1">
                  <c:v>0.49572460652700218</c:v>
                </c:pt>
                <c:pt idx="2">
                  <c:v>0.75946404786533517</c:v>
                </c:pt>
                <c:pt idx="3">
                  <c:v>0.32467800451940459</c:v>
                </c:pt>
                <c:pt idx="4">
                  <c:v>2.005503652452421</c:v>
                </c:pt>
                <c:pt idx="5">
                  <c:v>0.17772449362672921</c:v>
                </c:pt>
                <c:pt idx="6">
                  <c:v>1.457835258182488</c:v>
                </c:pt>
                <c:pt idx="7">
                  <c:v>0.84251825245464695</c:v>
                </c:pt>
                <c:pt idx="8">
                  <c:v>0.49283538983049169</c:v>
                </c:pt>
                <c:pt idx="9">
                  <c:v>0.64720102818289482</c:v>
                </c:pt>
                <c:pt idx="10">
                  <c:v>1.4146275350336399</c:v>
                </c:pt>
                <c:pt idx="11">
                  <c:v>1.831794144298533</c:v>
                </c:pt>
                <c:pt idx="12">
                  <c:v>3.1064900696401359</c:v>
                </c:pt>
                <c:pt idx="13">
                  <c:v>1.546548993727648</c:v>
                </c:pt>
                <c:pt idx="14">
                  <c:v>1.0127476607200161</c:v>
                </c:pt>
                <c:pt idx="15">
                  <c:v>1.8159720399829939</c:v>
                </c:pt>
                <c:pt idx="16">
                  <c:v>0.72818262766282138</c:v>
                </c:pt>
                <c:pt idx="17">
                  <c:v>0.28519333793060447</c:v>
                </c:pt>
                <c:pt idx="18">
                  <c:v>1.252561486793637</c:v>
                </c:pt>
                <c:pt idx="19">
                  <c:v>1.238349502361914</c:v>
                </c:pt>
                <c:pt idx="20">
                  <c:v>1.0811279087677781</c:v>
                </c:pt>
                <c:pt idx="21">
                  <c:v>0.37828926762465781</c:v>
                </c:pt>
                <c:pt idx="22">
                  <c:v>0.96296339945729548</c:v>
                </c:pt>
                <c:pt idx="23">
                  <c:v>0.1167644637721597</c:v>
                </c:pt>
                <c:pt idx="24">
                  <c:v>0.45310699987817149</c:v>
                </c:pt>
                <c:pt idx="25">
                  <c:v>7.0435317978319992E-2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A8E-BA45-A372-399A2DDBCC62}"/>
            </c:ext>
          </c:extLst>
        </c:ser>
        <c:ser>
          <c:idx val="0"/>
          <c:order val="1"/>
          <c:tx>
            <c:strRef>
              <c:f>Sheet1!$B$2</c:f>
              <c:strCache>
                <c:ptCount val="1"/>
                <c:pt idx="0">
                  <c:v>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Sheet1!$H$2:$H$7</c:f>
              <c:numCache>
                <c:formatCode>0.0000</c:formatCode>
                <c:ptCount val="6"/>
                <c:pt idx="0">
                  <c:v>0.83668953957674308</c:v>
                </c:pt>
                <c:pt idx="1">
                  <c:v>0.33526780340497953</c:v>
                </c:pt>
                <c:pt idx="2">
                  <c:v>0.82562021112587591</c:v>
                </c:pt>
                <c:pt idx="3">
                  <c:v>0.336480920707252</c:v>
                </c:pt>
                <c:pt idx="4">
                  <c:v>1.5061694824952461</c:v>
                </c:pt>
                <c:pt idx="5">
                  <c:v>0.17852389195847149</c:v>
                </c:pt>
              </c:numCache>
            </c:numRef>
          </c:xVal>
          <c:yVal>
            <c:numRef>
              <c:f>Sheet1!$N$2:$N$7</c:f>
              <c:numCache>
                <c:formatCode>0.0000</c:formatCode>
                <c:ptCount val="6"/>
                <c:pt idx="0">
                  <c:v>0.79510738897333866</c:v>
                </c:pt>
                <c:pt idx="1">
                  <c:v>0.49572460652700218</c:v>
                </c:pt>
                <c:pt idx="2">
                  <c:v>0.75946404786533517</c:v>
                </c:pt>
                <c:pt idx="3">
                  <c:v>0.32467800451940459</c:v>
                </c:pt>
                <c:pt idx="4">
                  <c:v>2.005503652452421</c:v>
                </c:pt>
                <c:pt idx="5">
                  <c:v>0.17772449362672921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A8E-BA45-A372-399A2DDBCC62}"/>
            </c:ext>
          </c:extLst>
        </c:ser>
        <c:ser>
          <c:idx val="2"/>
          <c:order val="2"/>
          <c:tx>
            <c:strRef>
              <c:f>Sheet1!$B$8</c:f>
              <c:strCache>
                <c:ptCount val="1"/>
                <c:pt idx="0">
                  <c:v>BX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Sheet1!$H$8:$H$10</c:f>
              <c:numCache>
                <c:formatCode>0.0000</c:formatCode>
                <c:ptCount val="3"/>
                <c:pt idx="0">
                  <c:v>1.35619691416844</c:v>
                </c:pt>
                <c:pt idx="1">
                  <c:v>0.47550039126975158</c:v>
                </c:pt>
                <c:pt idx="2">
                  <c:v>0.48820047296329178</c:v>
                </c:pt>
              </c:numCache>
            </c:numRef>
          </c:xVal>
          <c:yVal>
            <c:numRef>
              <c:f>Sheet1!$N$8:$N$10</c:f>
              <c:numCache>
                <c:formatCode>0.0000</c:formatCode>
                <c:ptCount val="3"/>
                <c:pt idx="0">
                  <c:v>1.457835258182488</c:v>
                </c:pt>
                <c:pt idx="1">
                  <c:v>0.84251825245464695</c:v>
                </c:pt>
                <c:pt idx="2">
                  <c:v>0.49283538983049169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A8E-BA45-A372-399A2DDBCC62}"/>
            </c:ext>
          </c:extLst>
        </c:ser>
        <c:ser>
          <c:idx val="1"/>
          <c:order val="3"/>
          <c:tx>
            <c:strRef>
              <c:f>Sheet1!$B$11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Sheet1!$H$11:$H$18</c:f>
              <c:numCache>
                <c:formatCode>0.0000</c:formatCode>
                <c:ptCount val="8"/>
                <c:pt idx="0">
                  <c:v>0.48450363259732088</c:v>
                </c:pt>
                <c:pt idx="1">
                  <c:v>1.3023351351298711</c:v>
                </c:pt>
                <c:pt idx="2">
                  <c:v>1.7336025722306689</c:v>
                </c:pt>
                <c:pt idx="3">
                  <c:v>2.5635508576971899</c:v>
                </c:pt>
                <c:pt idx="4">
                  <c:v>1.692894441105</c:v>
                </c:pt>
                <c:pt idx="5">
                  <c:v>1.0620060068188719</c:v>
                </c:pt>
                <c:pt idx="6">
                  <c:v>1.6719055113110419</c:v>
                </c:pt>
                <c:pt idx="7">
                  <c:v>0.5555892547557052</c:v>
                </c:pt>
              </c:numCache>
            </c:numRef>
          </c:xVal>
          <c:yVal>
            <c:numRef>
              <c:f>Sheet1!$N$11:$N$18</c:f>
              <c:numCache>
                <c:formatCode>0.0000</c:formatCode>
                <c:ptCount val="8"/>
                <c:pt idx="0">
                  <c:v>0.64720102818289482</c:v>
                </c:pt>
                <c:pt idx="1">
                  <c:v>1.4146275350336399</c:v>
                </c:pt>
                <c:pt idx="2">
                  <c:v>1.831794144298533</c:v>
                </c:pt>
                <c:pt idx="3">
                  <c:v>3.1064900696401359</c:v>
                </c:pt>
                <c:pt idx="4">
                  <c:v>1.546548993727648</c:v>
                </c:pt>
                <c:pt idx="5">
                  <c:v>1.0127476607200161</c:v>
                </c:pt>
                <c:pt idx="6">
                  <c:v>1.8159720399829939</c:v>
                </c:pt>
                <c:pt idx="7">
                  <c:v>0.72818262766282138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A8E-BA45-A372-399A2DDBCC62}"/>
            </c:ext>
          </c:extLst>
        </c:ser>
        <c:ser>
          <c:idx val="3"/>
          <c:order val="4"/>
          <c:tx>
            <c:strRef>
              <c:f>Sheet1!$B$19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Sheet1!$H$19:$H$24</c:f>
              <c:numCache>
                <c:formatCode>0.0000</c:formatCode>
                <c:ptCount val="6"/>
                <c:pt idx="0">
                  <c:v>0.21956550275487269</c:v>
                </c:pt>
                <c:pt idx="1">
                  <c:v>1.067536880801097</c:v>
                </c:pt>
                <c:pt idx="2">
                  <c:v>0.92562293039515342</c:v>
                </c:pt>
                <c:pt idx="3">
                  <c:v>1.0121508978408309</c:v>
                </c:pt>
                <c:pt idx="4">
                  <c:v>0.30362552593614389</c:v>
                </c:pt>
                <c:pt idx="5">
                  <c:v>0.83218159022111893</c:v>
                </c:pt>
              </c:numCache>
            </c:numRef>
          </c:xVal>
          <c:yVal>
            <c:numRef>
              <c:f>Sheet1!$N$19:$N$24</c:f>
              <c:numCache>
                <c:formatCode>0.0000</c:formatCode>
                <c:ptCount val="6"/>
                <c:pt idx="0">
                  <c:v>0.28519333793060447</c:v>
                </c:pt>
                <c:pt idx="1">
                  <c:v>1.252561486793637</c:v>
                </c:pt>
                <c:pt idx="2">
                  <c:v>1.238349502361914</c:v>
                </c:pt>
                <c:pt idx="3">
                  <c:v>1.0811279087677781</c:v>
                </c:pt>
                <c:pt idx="4">
                  <c:v>0.37828926762465781</c:v>
                </c:pt>
                <c:pt idx="5">
                  <c:v>0.96296339945729548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A8E-BA45-A372-399A2DDBCC62}"/>
            </c:ext>
          </c:extLst>
        </c:ser>
        <c:ser>
          <c:idx val="4"/>
          <c:order val="5"/>
          <c:tx>
            <c:strRef>
              <c:f>Sheet1!$B$25</c:f>
              <c:strCache>
                <c:ptCount val="1"/>
                <c:pt idx="0">
                  <c:v>SI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Sheet1!$H$25:$H$27</c:f>
              <c:numCache>
                <c:formatCode>0.0000</c:formatCode>
                <c:ptCount val="3"/>
                <c:pt idx="0">
                  <c:v>0.10405397637764729</c:v>
                </c:pt>
                <c:pt idx="1">
                  <c:v>0.39345450817089361</c:v>
                </c:pt>
                <c:pt idx="2">
                  <c:v>9.7055680662052821E-2</c:v>
                </c:pt>
              </c:numCache>
            </c:numRef>
          </c:xVal>
          <c:yVal>
            <c:numRef>
              <c:f>Sheet1!$N$25:$N$27</c:f>
              <c:numCache>
                <c:formatCode>0.0000</c:formatCode>
                <c:ptCount val="3"/>
                <c:pt idx="0">
                  <c:v>0.1167644637721597</c:v>
                </c:pt>
                <c:pt idx="1">
                  <c:v>0.45310699987817149</c:v>
                </c:pt>
                <c:pt idx="2">
                  <c:v>7.0435317978319992E-2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A8E-BA45-A372-399A2DDBC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5007"/>
        <c:axId val="156686799"/>
      </c:scatterChart>
      <c:valAx>
        <c:axId val="15668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799"/>
        <c:crosses val="autoZero"/>
        <c:crossBetween val="midCat"/>
      </c:valAx>
      <c:valAx>
        <c:axId val="1566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967782783161719"/>
          <c:y val="0.59937760168513965"/>
          <c:w val="0.16866395104077336"/>
          <c:h val="0.32245448618285771"/>
        </c:manualLayout>
      </c:layout>
      <c:overlay val="0"/>
      <c:spPr>
        <a:solidFill>
          <a:schemeClr val="l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GEOMEANs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7198652407255"/>
          <c:y val="9.7094240837696341E-2"/>
          <c:w val="0.79856794766325834"/>
          <c:h val="0.79006987673661211"/>
        </c:manualLayout>
      </c:layout>
      <c:scatterChart>
        <c:scatterStyle val="lineMarker"/>
        <c:varyColors val="0"/>
        <c:ser>
          <c:idx val="5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13003482737737"/>
                  <c:y val="6.6728521992075835E-4"/>
                </c:manualLayout>
              </c:layout>
              <c:numFmt formatCode="General" sourceLinked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Sheet1!$G$2:$G$27</c:f>
              <c:numCache>
                <c:formatCode>0.0000</c:formatCode>
                <c:ptCount val="26"/>
                <c:pt idx="0">
                  <c:v>0.92803713859160453</c:v>
                </c:pt>
                <c:pt idx="1">
                  <c:v>0.37243390201364729</c:v>
                </c:pt>
                <c:pt idx="2">
                  <c:v>0.76342678806752673</c:v>
                </c:pt>
                <c:pt idx="3">
                  <c:v>0.35759477141780027</c:v>
                </c:pt>
                <c:pt idx="4">
                  <c:v>1.492882092778165</c:v>
                </c:pt>
                <c:pt idx="5">
                  <c:v>0.21009956170520949</c:v>
                </c:pt>
                <c:pt idx="6">
                  <c:v>1.38448112261975</c:v>
                </c:pt>
                <c:pt idx="7">
                  <c:v>0.54643421679481063</c:v>
                </c:pt>
                <c:pt idx="8">
                  <c:v>0.46689558332147618</c:v>
                </c:pt>
                <c:pt idx="9">
                  <c:v>0.48350621603292682</c:v>
                </c:pt>
                <c:pt idx="10">
                  <c:v>1.398959615848349</c:v>
                </c:pt>
                <c:pt idx="11">
                  <c:v>1.6463452714865701</c:v>
                </c:pt>
                <c:pt idx="12">
                  <c:v>2.625210211239664</c:v>
                </c:pt>
                <c:pt idx="13">
                  <c:v>1.644259566462015</c:v>
                </c:pt>
                <c:pt idx="14">
                  <c:v>1.0377471078832889</c:v>
                </c:pt>
                <c:pt idx="15">
                  <c:v>1.7267589589830701</c:v>
                </c:pt>
                <c:pt idx="16">
                  <c:v>0.60331777817222576</c:v>
                </c:pt>
                <c:pt idx="17">
                  <c:v>0.29965000473510722</c:v>
                </c:pt>
                <c:pt idx="18">
                  <c:v>0.91205460169296304</c:v>
                </c:pt>
                <c:pt idx="19">
                  <c:v>0.9715468747996433</c:v>
                </c:pt>
                <c:pt idx="20">
                  <c:v>1.033167893857398</c:v>
                </c:pt>
                <c:pt idx="21">
                  <c:v>0.33113785194993789</c:v>
                </c:pt>
                <c:pt idx="22">
                  <c:v>0.81128902918266399</c:v>
                </c:pt>
                <c:pt idx="23">
                  <c:v>0.15559193288723611</c:v>
                </c:pt>
                <c:pt idx="24">
                  <c:v>0.36226013060075052</c:v>
                </c:pt>
                <c:pt idx="25">
                  <c:v>0.1152134696862408</c:v>
                </c:pt>
              </c:numCache>
            </c:numRef>
          </c:xVal>
          <c:yVal>
            <c:numRef>
              <c:f>Sheet1!$M$2:$M$27</c:f>
              <c:numCache>
                <c:formatCode>0.0000</c:formatCode>
                <c:ptCount val="26"/>
                <c:pt idx="0">
                  <c:v>0.91239584088928882</c:v>
                </c:pt>
                <c:pt idx="1">
                  <c:v>0.51679636277208985</c:v>
                </c:pt>
                <c:pt idx="2">
                  <c:v>0.75965279600650115</c:v>
                </c:pt>
                <c:pt idx="3">
                  <c:v>0.36230486023086339</c:v>
                </c:pt>
                <c:pt idx="4">
                  <c:v>1.978862200226126</c:v>
                </c:pt>
                <c:pt idx="5">
                  <c:v>0.22074400521016149</c:v>
                </c:pt>
                <c:pt idx="6">
                  <c:v>1.4908003657362789</c:v>
                </c:pt>
                <c:pt idx="7">
                  <c:v>0.94281128597454578</c:v>
                </c:pt>
                <c:pt idx="8">
                  <c:v>0.49635272056044488</c:v>
                </c:pt>
                <c:pt idx="9">
                  <c:v>0.67056626226216076</c:v>
                </c:pt>
                <c:pt idx="10">
                  <c:v>1.4272025470463841</c:v>
                </c:pt>
                <c:pt idx="11">
                  <c:v>1.775749234501071</c:v>
                </c:pt>
                <c:pt idx="12">
                  <c:v>3.3017124659265078</c:v>
                </c:pt>
                <c:pt idx="13">
                  <c:v>1.4436553933220171</c:v>
                </c:pt>
                <c:pt idx="14">
                  <c:v>1.042511685143414</c:v>
                </c:pt>
                <c:pt idx="15">
                  <c:v>2.11858483093856</c:v>
                </c:pt>
                <c:pt idx="16">
                  <c:v>0.80157815259824738</c:v>
                </c:pt>
                <c:pt idx="17">
                  <c:v>0.33532759505739651</c:v>
                </c:pt>
                <c:pt idx="18">
                  <c:v>1.116972853913305</c:v>
                </c:pt>
                <c:pt idx="19">
                  <c:v>1.2351468309981499</c:v>
                </c:pt>
                <c:pt idx="20">
                  <c:v>1.1083322043796751</c:v>
                </c:pt>
                <c:pt idx="21">
                  <c:v>0.38989923529340031</c:v>
                </c:pt>
                <c:pt idx="22">
                  <c:v>0.96765629064026071</c:v>
                </c:pt>
                <c:pt idx="23">
                  <c:v>0.17158875228986481</c:v>
                </c:pt>
                <c:pt idx="24">
                  <c:v>0.40638490800608801</c:v>
                </c:pt>
                <c:pt idx="25">
                  <c:v>8.3717168737379208E-2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F8-5747-8271-AB1635DAD39D}"/>
            </c:ext>
          </c:extLst>
        </c:ser>
        <c:ser>
          <c:idx val="0"/>
          <c:order val="1"/>
          <c:tx>
            <c:strRef>
              <c:f>Sheet1!$B$2</c:f>
              <c:strCache>
                <c:ptCount val="1"/>
                <c:pt idx="0">
                  <c:v>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Sheet1!$G$2:$G$7</c:f>
              <c:numCache>
                <c:formatCode>0.0000</c:formatCode>
                <c:ptCount val="6"/>
                <c:pt idx="0">
                  <c:v>0.92803713859160453</c:v>
                </c:pt>
                <c:pt idx="1">
                  <c:v>0.37243390201364729</c:v>
                </c:pt>
                <c:pt idx="2">
                  <c:v>0.76342678806752673</c:v>
                </c:pt>
                <c:pt idx="3">
                  <c:v>0.35759477141780027</c:v>
                </c:pt>
                <c:pt idx="4">
                  <c:v>1.492882092778165</c:v>
                </c:pt>
                <c:pt idx="5">
                  <c:v>0.21009956170520949</c:v>
                </c:pt>
              </c:numCache>
            </c:numRef>
          </c:xVal>
          <c:yVal>
            <c:numRef>
              <c:f>Sheet1!$M$2:$M$7</c:f>
              <c:numCache>
                <c:formatCode>0.0000</c:formatCode>
                <c:ptCount val="6"/>
                <c:pt idx="0">
                  <c:v>0.91239584088928882</c:v>
                </c:pt>
                <c:pt idx="1">
                  <c:v>0.51679636277208985</c:v>
                </c:pt>
                <c:pt idx="2">
                  <c:v>0.75965279600650115</c:v>
                </c:pt>
                <c:pt idx="3">
                  <c:v>0.36230486023086339</c:v>
                </c:pt>
                <c:pt idx="4">
                  <c:v>1.978862200226126</c:v>
                </c:pt>
                <c:pt idx="5">
                  <c:v>0.22074400521016149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F8-5747-8271-AB1635DAD39D}"/>
            </c:ext>
          </c:extLst>
        </c:ser>
        <c:ser>
          <c:idx val="2"/>
          <c:order val="2"/>
          <c:tx>
            <c:strRef>
              <c:f>Sheet1!$B$8</c:f>
              <c:strCache>
                <c:ptCount val="1"/>
                <c:pt idx="0">
                  <c:v>BX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Sheet1!$G$8:$G$10</c:f>
              <c:numCache>
                <c:formatCode>0.0000</c:formatCode>
                <c:ptCount val="3"/>
                <c:pt idx="0">
                  <c:v>1.38448112261975</c:v>
                </c:pt>
                <c:pt idx="1">
                  <c:v>0.54643421679481063</c:v>
                </c:pt>
                <c:pt idx="2">
                  <c:v>0.46689558332147618</c:v>
                </c:pt>
              </c:numCache>
            </c:numRef>
          </c:xVal>
          <c:yVal>
            <c:numRef>
              <c:f>Sheet1!$M$8:$M$10</c:f>
              <c:numCache>
                <c:formatCode>0.0000</c:formatCode>
                <c:ptCount val="3"/>
                <c:pt idx="0">
                  <c:v>1.4908003657362789</c:v>
                </c:pt>
                <c:pt idx="1">
                  <c:v>0.94281128597454578</c:v>
                </c:pt>
                <c:pt idx="2">
                  <c:v>0.49635272056044488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F8-5747-8271-AB1635DAD39D}"/>
            </c:ext>
          </c:extLst>
        </c:ser>
        <c:ser>
          <c:idx val="1"/>
          <c:order val="3"/>
          <c:tx>
            <c:strRef>
              <c:f>Sheet1!$B$11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Sheet1!$G$11:$G$18</c:f>
              <c:numCache>
                <c:formatCode>0.0000</c:formatCode>
                <c:ptCount val="8"/>
                <c:pt idx="0">
                  <c:v>0.48350621603292682</c:v>
                </c:pt>
                <c:pt idx="1">
                  <c:v>1.398959615848349</c:v>
                </c:pt>
                <c:pt idx="2">
                  <c:v>1.6463452714865701</c:v>
                </c:pt>
                <c:pt idx="3">
                  <c:v>2.625210211239664</c:v>
                </c:pt>
                <c:pt idx="4">
                  <c:v>1.644259566462015</c:v>
                </c:pt>
                <c:pt idx="5">
                  <c:v>1.0377471078832889</c:v>
                </c:pt>
                <c:pt idx="6">
                  <c:v>1.7267589589830701</c:v>
                </c:pt>
                <c:pt idx="7">
                  <c:v>0.60331777817222576</c:v>
                </c:pt>
              </c:numCache>
            </c:numRef>
          </c:xVal>
          <c:yVal>
            <c:numRef>
              <c:f>Sheet1!$M$11:$M$18</c:f>
              <c:numCache>
                <c:formatCode>0.0000</c:formatCode>
                <c:ptCount val="8"/>
                <c:pt idx="0">
                  <c:v>0.67056626226216076</c:v>
                </c:pt>
                <c:pt idx="1">
                  <c:v>1.4272025470463841</c:v>
                </c:pt>
                <c:pt idx="2">
                  <c:v>1.775749234501071</c:v>
                </c:pt>
                <c:pt idx="3">
                  <c:v>3.3017124659265078</c:v>
                </c:pt>
                <c:pt idx="4">
                  <c:v>1.4436553933220171</c:v>
                </c:pt>
                <c:pt idx="5">
                  <c:v>1.042511685143414</c:v>
                </c:pt>
                <c:pt idx="6">
                  <c:v>2.11858483093856</c:v>
                </c:pt>
                <c:pt idx="7">
                  <c:v>0.80157815259824738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F8-5747-8271-AB1635DAD39D}"/>
            </c:ext>
          </c:extLst>
        </c:ser>
        <c:ser>
          <c:idx val="3"/>
          <c:order val="4"/>
          <c:tx>
            <c:strRef>
              <c:f>Sheet1!$B$19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Sheet1!$G$19:$G$24</c:f>
              <c:numCache>
                <c:formatCode>0.0000</c:formatCode>
                <c:ptCount val="6"/>
                <c:pt idx="0">
                  <c:v>0.29965000473510722</c:v>
                </c:pt>
                <c:pt idx="1">
                  <c:v>0.91205460169296304</c:v>
                </c:pt>
                <c:pt idx="2">
                  <c:v>0.9715468747996433</c:v>
                </c:pt>
                <c:pt idx="3">
                  <c:v>1.033167893857398</c:v>
                </c:pt>
                <c:pt idx="4">
                  <c:v>0.33113785194993789</c:v>
                </c:pt>
                <c:pt idx="5">
                  <c:v>0.81128902918266399</c:v>
                </c:pt>
              </c:numCache>
            </c:numRef>
          </c:xVal>
          <c:yVal>
            <c:numRef>
              <c:f>Sheet1!$M$19:$M$24</c:f>
              <c:numCache>
                <c:formatCode>0.0000</c:formatCode>
                <c:ptCount val="6"/>
                <c:pt idx="0">
                  <c:v>0.33532759505739651</c:v>
                </c:pt>
                <c:pt idx="1">
                  <c:v>1.116972853913305</c:v>
                </c:pt>
                <c:pt idx="2">
                  <c:v>1.2351468309981499</c:v>
                </c:pt>
                <c:pt idx="3">
                  <c:v>1.1083322043796751</c:v>
                </c:pt>
                <c:pt idx="4">
                  <c:v>0.38989923529340031</c:v>
                </c:pt>
                <c:pt idx="5">
                  <c:v>0.96765629064026071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F8-5747-8271-AB1635DAD39D}"/>
            </c:ext>
          </c:extLst>
        </c:ser>
        <c:ser>
          <c:idx val="4"/>
          <c:order val="5"/>
          <c:tx>
            <c:strRef>
              <c:f>Sheet1!$B$25</c:f>
              <c:strCache>
                <c:ptCount val="1"/>
                <c:pt idx="0">
                  <c:v>SI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Sheet1!$G$25:$G$27</c:f>
              <c:numCache>
                <c:formatCode>0.0000</c:formatCode>
                <c:ptCount val="3"/>
                <c:pt idx="0">
                  <c:v>0.15559193288723611</c:v>
                </c:pt>
                <c:pt idx="1">
                  <c:v>0.36226013060075052</c:v>
                </c:pt>
                <c:pt idx="2">
                  <c:v>0.1152134696862408</c:v>
                </c:pt>
              </c:numCache>
            </c:numRef>
          </c:xVal>
          <c:yVal>
            <c:numRef>
              <c:f>Sheet1!$M$25:$M$27</c:f>
              <c:numCache>
                <c:formatCode>0.0000</c:formatCode>
                <c:ptCount val="3"/>
                <c:pt idx="0">
                  <c:v>0.17158875228986481</c:v>
                </c:pt>
                <c:pt idx="1">
                  <c:v>0.40638490800608801</c:v>
                </c:pt>
                <c:pt idx="2">
                  <c:v>8.3717168737379208E-2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F8-5747-8271-AB1635DAD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5007"/>
        <c:axId val="156686799"/>
      </c:scatterChart>
      <c:valAx>
        <c:axId val="15668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799"/>
        <c:crosses val="autoZero"/>
        <c:crossBetween val="midCat"/>
      </c:valAx>
      <c:valAx>
        <c:axId val="1566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4005962295578431"/>
          <c:y val="0.52612919404182756"/>
          <c:w val="0.17969011938023877"/>
          <c:h val="0.32245448618285771"/>
        </c:manualLayout>
      </c:layout>
      <c:overlay val="0"/>
      <c:spPr>
        <a:solidFill>
          <a:schemeClr val="l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Total MEDIANs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18185947910361E-2"/>
          <c:y val="0.15123426450674557"/>
          <c:w val="0.79856794766325834"/>
          <c:h val="0.79006987673661211"/>
        </c:manualLayout>
      </c:layout>
      <c:scatterChart>
        <c:scatterStyle val="lineMarker"/>
        <c:varyColors val="0"/>
        <c:ser>
          <c:idx val="5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803909721680831"/>
                  <c:y val="-5.1771653543307088E-2"/>
                </c:manualLayout>
              </c:layout>
              <c:numFmt formatCode="General" sourceLinked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Sheet1!$H$2:$H$27</c:f>
              <c:numCache>
                <c:formatCode>0.0000</c:formatCode>
                <c:ptCount val="26"/>
                <c:pt idx="0">
                  <c:v>0.83668953957674308</c:v>
                </c:pt>
                <c:pt idx="1">
                  <c:v>0.33526780340497953</c:v>
                </c:pt>
                <c:pt idx="2">
                  <c:v>0.82562021112587591</c:v>
                </c:pt>
                <c:pt idx="3">
                  <c:v>0.336480920707252</c:v>
                </c:pt>
                <c:pt idx="4">
                  <c:v>1.5061694824952461</c:v>
                </c:pt>
                <c:pt idx="5">
                  <c:v>0.17852389195847149</c:v>
                </c:pt>
                <c:pt idx="6">
                  <c:v>1.35619691416844</c:v>
                </c:pt>
                <c:pt idx="7">
                  <c:v>0.47550039126975158</c:v>
                </c:pt>
                <c:pt idx="8">
                  <c:v>0.48820047296329178</c:v>
                </c:pt>
                <c:pt idx="9">
                  <c:v>0.48450363259732088</c:v>
                </c:pt>
                <c:pt idx="10">
                  <c:v>1.3023351351298711</c:v>
                </c:pt>
                <c:pt idx="11">
                  <c:v>1.7336025722306689</c:v>
                </c:pt>
                <c:pt idx="12">
                  <c:v>2.5635508576971899</c:v>
                </c:pt>
                <c:pt idx="13">
                  <c:v>1.692894441105</c:v>
                </c:pt>
                <c:pt idx="14">
                  <c:v>1.0620060068188719</c:v>
                </c:pt>
                <c:pt idx="15">
                  <c:v>1.6719055113110419</c:v>
                </c:pt>
                <c:pt idx="16">
                  <c:v>0.5555892547557052</c:v>
                </c:pt>
                <c:pt idx="17">
                  <c:v>0.21956550275487269</c:v>
                </c:pt>
                <c:pt idx="18">
                  <c:v>1.067536880801097</c:v>
                </c:pt>
                <c:pt idx="19">
                  <c:v>0.92562293039515342</c:v>
                </c:pt>
                <c:pt idx="20">
                  <c:v>1.0121508978408309</c:v>
                </c:pt>
                <c:pt idx="21">
                  <c:v>0.30362552593614389</c:v>
                </c:pt>
                <c:pt idx="22">
                  <c:v>0.83218159022111893</c:v>
                </c:pt>
                <c:pt idx="23">
                  <c:v>0.10405397637764729</c:v>
                </c:pt>
                <c:pt idx="24">
                  <c:v>0.39345450817089361</c:v>
                </c:pt>
                <c:pt idx="25">
                  <c:v>9.7055680662052821E-2</c:v>
                </c:pt>
              </c:numCache>
            </c:numRef>
          </c:xVal>
          <c:yVal>
            <c:numRef>
              <c:f>Sheet1!$N$2:$N$27</c:f>
              <c:numCache>
                <c:formatCode>0.0000</c:formatCode>
                <c:ptCount val="26"/>
                <c:pt idx="0">
                  <c:v>0.79510738897333866</c:v>
                </c:pt>
                <c:pt idx="1">
                  <c:v>0.49572460652700218</c:v>
                </c:pt>
                <c:pt idx="2">
                  <c:v>0.75946404786533517</c:v>
                </c:pt>
                <c:pt idx="3">
                  <c:v>0.32467800451940459</c:v>
                </c:pt>
                <c:pt idx="4">
                  <c:v>2.005503652452421</c:v>
                </c:pt>
                <c:pt idx="5">
                  <c:v>0.17772449362672921</c:v>
                </c:pt>
                <c:pt idx="6">
                  <c:v>1.457835258182488</c:v>
                </c:pt>
                <c:pt idx="7">
                  <c:v>0.84251825245464695</c:v>
                </c:pt>
                <c:pt idx="8">
                  <c:v>0.49283538983049169</c:v>
                </c:pt>
                <c:pt idx="9">
                  <c:v>0.64720102818289482</c:v>
                </c:pt>
                <c:pt idx="10">
                  <c:v>1.4146275350336399</c:v>
                </c:pt>
                <c:pt idx="11">
                  <c:v>1.831794144298533</c:v>
                </c:pt>
                <c:pt idx="12">
                  <c:v>3.1064900696401359</c:v>
                </c:pt>
                <c:pt idx="13">
                  <c:v>1.546548993727648</c:v>
                </c:pt>
                <c:pt idx="14">
                  <c:v>1.0127476607200161</c:v>
                </c:pt>
                <c:pt idx="15">
                  <c:v>1.8159720399829939</c:v>
                </c:pt>
                <c:pt idx="16">
                  <c:v>0.72818262766282138</c:v>
                </c:pt>
                <c:pt idx="17">
                  <c:v>0.28519333793060447</c:v>
                </c:pt>
                <c:pt idx="18">
                  <c:v>1.252561486793637</c:v>
                </c:pt>
                <c:pt idx="19">
                  <c:v>1.238349502361914</c:v>
                </c:pt>
                <c:pt idx="20">
                  <c:v>1.0811279087677781</c:v>
                </c:pt>
                <c:pt idx="21">
                  <c:v>0.37828926762465781</c:v>
                </c:pt>
                <c:pt idx="22">
                  <c:v>0.96296339945729548</c:v>
                </c:pt>
                <c:pt idx="23">
                  <c:v>0.1167644637721597</c:v>
                </c:pt>
                <c:pt idx="24">
                  <c:v>0.45310699987817149</c:v>
                </c:pt>
                <c:pt idx="25">
                  <c:v>7.0435317978319992E-2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3-184A-9DFF-A43423397B40}"/>
            </c:ext>
          </c:extLst>
        </c:ser>
        <c:ser>
          <c:idx val="0"/>
          <c:order val="1"/>
          <c:tx>
            <c:strRef>
              <c:f>Sheet1!$B$2</c:f>
              <c:strCache>
                <c:ptCount val="1"/>
                <c:pt idx="0">
                  <c:v>BK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Sheet1!$H$2:$H$7</c:f>
              <c:numCache>
                <c:formatCode>0.0000</c:formatCode>
                <c:ptCount val="6"/>
                <c:pt idx="0">
                  <c:v>0.83668953957674308</c:v>
                </c:pt>
                <c:pt idx="1">
                  <c:v>0.33526780340497953</c:v>
                </c:pt>
                <c:pt idx="2">
                  <c:v>0.82562021112587591</c:v>
                </c:pt>
                <c:pt idx="3">
                  <c:v>0.336480920707252</c:v>
                </c:pt>
                <c:pt idx="4">
                  <c:v>1.5061694824952461</c:v>
                </c:pt>
                <c:pt idx="5">
                  <c:v>0.17852389195847149</c:v>
                </c:pt>
              </c:numCache>
            </c:numRef>
          </c:xVal>
          <c:yVal>
            <c:numRef>
              <c:f>Sheet1!$N$2:$N$7</c:f>
              <c:numCache>
                <c:formatCode>0.0000</c:formatCode>
                <c:ptCount val="6"/>
                <c:pt idx="0">
                  <c:v>0.79510738897333866</c:v>
                </c:pt>
                <c:pt idx="1">
                  <c:v>0.49572460652700218</c:v>
                </c:pt>
                <c:pt idx="2">
                  <c:v>0.75946404786533517</c:v>
                </c:pt>
                <c:pt idx="3">
                  <c:v>0.32467800451940459</c:v>
                </c:pt>
                <c:pt idx="4">
                  <c:v>2.005503652452421</c:v>
                </c:pt>
                <c:pt idx="5">
                  <c:v>0.17772449362672921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3-184A-9DFF-A43423397B40}"/>
            </c:ext>
          </c:extLst>
        </c:ser>
        <c:ser>
          <c:idx val="2"/>
          <c:order val="2"/>
          <c:tx>
            <c:strRef>
              <c:f>Sheet1!$B$8</c:f>
              <c:strCache>
                <c:ptCount val="1"/>
                <c:pt idx="0">
                  <c:v>BX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Sheet1!$H$8:$H$10</c:f>
              <c:numCache>
                <c:formatCode>0.0000</c:formatCode>
                <c:ptCount val="3"/>
                <c:pt idx="0">
                  <c:v>1.35619691416844</c:v>
                </c:pt>
                <c:pt idx="1">
                  <c:v>0.47550039126975158</c:v>
                </c:pt>
                <c:pt idx="2">
                  <c:v>0.48820047296329178</c:v>
                </c:pt>
              </c:numCache>
            </c:numRef>
          </c:xVal>
          <c:yVal>
            <c:numRef>
              <c:f>Sheet1!$N$8:$N$10</c:f>
              <c:numCache>
                <c:formatCode>0.0000</c:formatCode>
                <c:ptCount val="3"/>
                <c:pt idx="0">
                  <c:v>1.457835258182488</c:v>
                </c:pt>
                <c:pt idx="1">
                  <c:v>0.84251825245464695</c:v>
                </c:pt>
                <c:pt idx="2">
                  <c:v>0.49283538983049169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3-184A-9DFF-A43423397B40}"/>
            </c:ext>
          </c:extLst>
        </c:ser>
        <c:ser>
          <c:idx val="1"/>
          <c:order val="3"/>
          <c:tx>
            <c:strRef>
              <c:f>Sheet1!$B$11</c:f>
              <c:strCache>
                <c:ptCount val="1"/>
                <c:pt idx="0">
                  <c:v>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Sheet1!$H$11:$H$18</c:f>
              <c:numCache>
                <c:formatCode>0.0000</c:formatCode>
                <c:ptCount val="8"/>
                <c:pt idx="0">
                  <c:v>0.48450363259732088</c:v>
                </c:pt>
                <c:pt idx="1">
                  <c:v>1.3023351351298711</c:v>
                </c:pt>
                <c:pt idx="2">
                  <c:v>1.7336025722306689</c:v>
                </c:pt>
                <c:pt idx="3">
                  <c:v>2.5635508576971899</c:v>
                </c:pt>
                <c:pt idx="4">
                  <c:v>1.692894441105</c:v>
                </c:pt>
                <c:pt idx="5">
                  <c:v>1.0620060068188719</c:v>
                </c:pt>
                <c:pt idx="6">
                  <c:v>1.6719055113110419</c:v>
                </c:pt>
                <c:pt idx="7">
                  <c:v>0.5555892547557052</c:v>
                </c:pt>
              </c:numCache>
            </c:numRef>
          </c:xVal>
          <c:yVal>
            <c:numRef>
              <c:f>Sheet1!$N$11:$N$18</c:f>
              <c:numCache>
                <c:formatCode>0.0000</c:formatCode>
                <c:ptCount val="8"/>
                <c:pt idx="0">
                  <c:v>0.64720102818289482</c:v>
                </c:pt>
                <c:pt idx="1">
                  <c:v>1.4146275350336399</c:v>
                </c:pt>
                <c:pt idx="2">
                  <c:v>1.831794144298533</c:v>
                </c:pt>
                <c:pt idx="3">
                  <c:v>3.1064900696401359</c:v>
                </c:pt>
                <c:pt idx="4">
                  <c:v>1.546548993727648</c:v>
                </c:pt>
                <c:pt idx="5">
                  <c:v>1.0127476607200161</c:v>
                </c:pt>
                <c:pt idx="6">
                  <c:v>1.8159720399829939</c:v>
                </c:pt>
                <c:pt idx="7">
                  <c:v>0.72818262766282138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73-184A-9DFF-A43423397B40}"/>
            </c:ext>
          </c:extLst>
        </c:ser>
        <c:ser>
          <c:idx val="3"/>
          <c:order val="4"/>
          <c:tx>
            <c:strRef>
              <c:f>Sheet1!$B$19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Sheet1!$H$19:$H$24</c:f>
              <c:numCache>
                <c:formatCode>0.0000</c:formatCode>
                <c:ptCount val="6"/>
                <c:pt idx="0">
                  <c:v>0.21956550275487269</c:v>
                </c:pt>
                <c:pt idx="1">
                  <c:v>1.067536880801097</c:v>
                </c:pt>
                <c:pt idx="2">
                  <c:v>0.92562293039515342</c:v>
                </c:pt>
                <c:pt idx="3">
                  <c:v>1.0121508978408309</c:v>
                </c:pt>
                <c:pt idx="4">
                  <c:v>0.30362552593614389</c:v>
                </c:pt>
                <c:pt idx="5">
                  <c:v>0.83218159022111893</c:v>
                </c:pt>
              </c:numCache>
            </c:numRef>
          </c:xVal>
          <c:yVal>
            <c:numRef>
              <c:f>Sheet1!$N$19:$N$24</c:f>
              <c:numCache>
                <c:formatCode>0.0000</c:formatCode>
                <c:ptCount val="6"/>
                <c:pt idx="0">
                  <c:v>0.28519333793060447</c:v>
                </c:pt>
                <c:pt idx="1">
                  <c:v>1.252561486793637</c:v>
                </c:pt>
                <c:pt idx="2">
                  <c:v>1.238349502361914</c:v>
                </c:pt>
                <c:pt idx="3">
                  <c:v>1.0811279087677781</c:v>
                </c:pt>
                <c:pt idx="4">
                  <c:v>0.37828926762465781</c:v>
                </c:pt>
                <c:pt idx="5">
                  <c:v>0.96296339945729548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73-184A-9DFF-A43423397B40}"/>
            </c:ext>
          </c:extLst>
        </c:ser>
        <c:ser>
          <c:idx val="4"/>
          <c:order val="5"/>
          <c:tx>
            <c:strRef>
              <c:f>Sheet1!$B$25</c:f>
              <c:strCache>
                <c:ptCount val="1"/>
                <c:pt idx="0">
                  <c:v>SI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Sheet1!$H$25:$H$27</c:f>
              <c:numCache>
                <c:formatCode>0.0000</c:formatCode>
                <c:ptCount val="3"/>
                <c:pt idx="0">
                  <c:v>0.10405397637764729</c:v>
                </c:pt>
                <c:pt idx="1">
                  <c:v>0.39345450817089361</c:v>
                </c:pt>
                <c:pt idx="2">
                  <c:v>9.7055680662052821E-2</c:v>
                </c:pt>
              </c:numCache>
            </c:numRef>
          </c:xVal>
          <c:yVal>
            <c:numRef>
              <c:f>Sheet1!$N$25:$N$27</c:f>
              <c:numCache>
                <c:formatCode>0.0000</c:formatCode>
                <c:ptCount val="3"/>
                <c:pt idx="0">
                  <c:v>0.1167644637721597</c:v>
                </c:pt>
                <c:pt idx="1">
                  <c:v>0.45310699987817149</c:v>
                </c:pt>
                <c:pt idx="2">
                  <c:v>7.0435317978319992E-2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73-184A-9DFF-A43423397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5007"/>
        <c:axId val="156686799"/>
      </c:scatterChart>
      <c:valAx>
        <c:axId val="1566850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799"/>
        <c:crossesAt val="0.01"/>
        <c:crossBetween val="midCat"/>
      </c:valAx>
      <c:valAx>
        <c:axId val="1566867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007"/>
        <c:crossesAt val="0.01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967782783161719"/>
          <c:y val="0.59937760168513965"/>
          <c:w val="0.16866395104077336"/>
          <c:h val="0.32245448618285771"/>
        </c:manualLayout>
      </c:layout>
      <c:overlay val="0"/>
      <c:spPr>
        <a:solidFill>
          <a:schemeClr val="l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101600</xdr:rowOff>
    </xdr:from>
    <xdr:to>
      <xdr:col>5</xdr:col>
      <xdr:colOff>355600</xdr:colOff>
      <xdr:row>47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6EC79-551A-4F3F-AEED-418BBFEA9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609600</xdr:colOff>
      <xdr:row>6</xdr:row>
      <xdr:rowOff>25400</xdr:rowOff>
    </xdr:from>
    <xdr:to>
      <xdr:col>23</xdr:col>
      <xdr:colOff>787400</xdr:colOff>
      <xdr:row>25</xdr:row>
      <xdr:rowOff>88900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24C60B9-0902-3575-ED2E-E9218AF8D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431800</xdr:colOff>
      <xdr:row>27</xdr:row>
      <xdr:rowOff>88900</xdr:rowOff>
    </xdr:from>
    <xdr:to>
      <xdr:col>9</xdr:col>
      <xdr:colOff>203200</xdr:colOff>
      <xdr:row>47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5B3AD0-0723-EC4E-B43A-E9713185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27</xdr:row>
      <xdr:rowOff>88900</xdr:rowOff>
    </xdr:from>
    <xdr:to>
      <xdr:col>13</xdr:col>
      <xdr:colOff>1092200</xdr:colOff>
      <xdr:row>47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79343FE-3B7F-E646-8CCE-CBC66D581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1333500</xdr:colOff>
      <xdr:row>27</xdr:row>
      <xdr:rowOff>76200</xdr:rowOff>
    </xdr:from>
    <xdr:to>
      <xdr:col>20</xdr:col>
      <xdr:colOff>12700</xdr:colOff>
      <xdr:row>47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7E3AC0-723C-4449-97D8-6618EF039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1574-25EF-DE4B-90F0-6CE3F6682B8D}">
  <dimension ref="A1:T27"/>
  <sheetViews>
    <sheetView tabSelected="1" workbookViewId="0">
      <pane ySplit="1" topLeftCell="A2" activePane="bottomLeft" state="frozen"/>
      <selection pane="bottomLeft" activeCell="J2" sqref="J2:J27"/>
    </sheetView>
  </sheetViews>
  <sheetFormatPr baseColWidth="10" defaultRowHeight="16" x14ac:dyDescent="0.2"/>
  <cols>
    <col min="1" max="1" width="15.33203125" bestFit="1" customWidth="1"/>
    <col min="2" max="3" width="15.33203125" customWidth="1"/>
    <col min="4" max="4" width="6.83203125" bestFit="1" customWidth="1"/>
    <col min="5" max="5" width="9.6640625" style="3" bestFit="1" customWidth="1"/>
    <col min="6" max="6" width="16.1640625" bestFit="1" customWidth="1"/>
    <col min="7" max="7" width="20.5" bestFit="1" customWidth="1"/>
    <col min="8" max="8" width="18.33203125" bestFit="1" customWidth="1"/>
    <col min="9" max="9" width="15.33203125" bestFit="1" customWidth="1"/>
    <col min="10" max="10" width="6.83203125" customWidth="1"/>
    <col min="11" max="11" width="13.33203125" customWidth="1"/>
    <col min="12" max="12" width="16.1640625" bestFit="1" customWidth="1"/>
    <col min="13" max="13" width="20.5" bestFit="1" customWidth="1"/>
    <col min="14" max="14" width="18.33203125" bestFit="1" customWidth="1"/>
    <col min="19" max="19" width="12.1640625" bestFit="1" customWidth="1"/>
  </cols>
  <sheetData>
    <row r="1" spans="1:20" s="2" customFormat="1" ht="19" x14ac:dyDescent="0.2">
      <c r="A1" s="2" t="s">
        <v>26</v>
      </c>
      <c r="D1" s="2" t="s">
        <v>27</v>
      </c>
      <c r="E1" s="2" t="s">
        <v>36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37</v>
      </c>
      <c r="L1" s="2" t="s">
        <v>33</v>
      </c>
      <c r="M1" s="2" t="s">
        <v>34</v>
      </c>
      <c r="N1" s="2" t="s">
        <v>35</v>
      </c>
      <c r="O1" s="2" t="s">
        <v>41</v>
      </c>
      <c r="Q1" s="2" t="s">
        <v>52</v>
      </c>
    </row>
    <row r="2" spans="1:20" x14ac:dyDescent="0.2">
      <c r="A2" t="s">
        <v>0</v>
      </c>
      <c r="B2" t="s">
        <v>47</v>
      </c>
      <c r="C2" t="s">
        <v>49</v>
      </c>
      <c r="D2">
        <v>224</v>
      </c>
      <c r="E2" s="3">
        <v>15</v>
      </c>
      <c r="F2" s="1">
        <v>1.3007718311451011</v>
      </c>
      <c r="G2" s="1">
        <v>0.92803713859160453</v>
      </c>
      <c r="H2" s="1">
        <v>0.83668953957674308</v>
      </c>
      <c r="I2" t="s">
        <v>0</v>
      </c>
      <c r="J2">
        <v>271</v>
      </c>
      <c r="K2">
        <v>13</v>
      </c>
      <c r="L2" s="1">
        <v>1.274862366220167</v>
      </c>
      <c r="M2" s="1">
        <v>0.91239584088928882</v>
      </c>
      <c r="N2" s="1">
        <v>0.79510738897333866</v>
      </c>
      <c r="O2" s="3">
        <f>(E2-K2)^2</f>
        <v>4</v>
      </c>
      <c r="Q2" t="s">
        <v>53</v>
      </c>
      <c r="S2" t="s">
        <v>54</v>
      </c>
    </row>
    <row r="3" spans="1:20" ht="19" x14ac:dyDescent="0.2">
      <c r="A3" t="s">
        <v>2</v>
      </c>
      <c r="B3" t="s">
        <v>47</v>
      </c>
      <c r="C3" t="s">
        <v>49</v>
      </c>
      <c r="D3">
        <v>203</v>
      </c>
      <c r="E3" s="3">
        <v>6</v>
      </c>
      <c r="F3" s="1">
        <v>0.45840160075043851</v>
      </c>
      <c r="G3" s="1">
        <v>0.37243390201364729</v>
      </c>
      <c r="H3" s="1">
        <v>0.33526780340497953</v>
      </c>
      <c r="I3" t="s">
        <v>2</v>
      </c>
      <c r="J3">
        <v>234</v>
      </c>
      <c r="K3">
        <v>9</v>
      </c>
      <c r="L3" s="1">
        <v>0.64387947859494465</v>
      </c>
      <c r="M3" s="1">
        <v>0.51679636277208985</v>
      </c>
      <c r="N3" s="1">
        <v>0.49572460652700218</v>
      </c>
      <c r="O3" s="3">
        <f>(E3-K3)^2</f>
        <v>9</v>
      </c>
      <c r="Q3" s="2" t="s">
        <v>38</v>
      </c>
      <c r="R3" s="2" t="s">
        <v>42</v>
      </c>
      <c r="S3" s="2" t="s">
        <v>39</v>
      </c>
      <c r="T3" s="2" t="s">
        <v>40</v>
      </c>
    </row>
    <row r="4" spans="1:20" x14ac:dyDescent="0.2">
      <c r="A4" t="s">
        <v>7</v>
      </c>
      <c r="B4" t="s">
        <v>47</v>
      </c>
      <c r="C4" t="s">
        <v>49</v>
      </c>
      <c r="D4">
        <v>258</v>
      </c>
      <c r="E4" s="3">
        <v>13</v>
      </c>
      <c r="F4" s="1">
        <v>1.0248347780598861</v>
      </c>
      <c r="G4" s="1">
        <v>0.76342678806752673</v>
      </c>
      <c r="H4" s="1">
        <v>0.82562021112587591</v>
      </c>
      <c r="I4" t="s">
        <v>7</v>
      </c>
      <c r="J4">
        <v>239</v>
      </c>
      <c r="K4">
        <v>12</v>
      </c>
      <c r="L4" s="1">
        <v>1.0143085758472741</v>
      </c>
      <c r="M4" s="1">
        <v>0.75965279600650115</v>
      </c>
      <c r="N4" s="1">
        <v>0.75946404786533517</v>
      </c>
      <c r="O4" s="3">
        <f>(E4-K4)^2</f>
        <v>1</v>
      </c>
      <c r="Q4" s="1">
        <f>1 - 6*SUM(O2:O27)/(COUNT(O2:O27)*(COUNT(O2:O27)^2-1))</f>
        <v>0.97333333333333338</v>
      </c>
      <c r="R4">
        <f>Q4 * SQRT(COUNT(O2:O27)-2)/SQRT(1-Q4^2)</f>
        <v>20.786560106979749</v>
      </c>
      <c r="S4" cm="1">
        <f t="array" ref="S4">_xlfn.T.DIST.2T(
  ABS(
    CORREL(
      _xlfn.RANK.AVG($E$2:$E$27,$E$2:$E$27,1),
      _xlfn.RANK.AVG($K$2:$K$27,$K$2:$K$27,1)
    )
    *SQRT(
      (ROWS($E$2:$E$27)-2) /
      (1 - CORREL(
            _xlfn.RANK.AVG($E$2:$E$27,$E$2:$E$27,1),
            _xlfn.RANK.AVG($K$2:$K$27,$K$2:$K$27,1)
         )^2)
    )
  ),
  ROWS($E$2:$E$27)-2
)</f>
        <v>7.4500149702619099E-17</v>
      </c>
      <c r="T4" t="s">
        <v>43</v>
      </c>
    </row>
    <row r="5" spans="1:20" x14ac:dyDescent="0.2">
      <c r="A5" t="s">
        <v>8</v>
      </c>
      <c r="B5" t="s">
        <v>47</v>
      </c>
      <c r="C5" t="s">
        <v>46</v>
      </c>
      <c r="D5">
        <v>289</v>
      </c>
      <c r="E5" s="3">
        <v>7</v>
      </c>
      <c r="F5" s="1">
        <v>0.45314440575331821</v>
      </c>
      <c r="G5" s="1">
        <v>0.35759477141780027</v>
      </c>
      <c r="H5" s="1">
        <v>0.336480920707252</v>
      </c>
      <c r="I5" t="s">
        <v>8</v>
      </c>
      <c r="J5">
        <v>318</v>
      </c>
      <c r="K5">
        <v>5</v>
      </c>
      <c r="L5" s="1">
        <v>0.45922394622557972</v>
      </c>
      <c r="M5" s="1">
        <v>0.36230486023086339</v>
      </c>
      <c r="N5" s="1">
        <v>0.32467800451940459</v>
      </c>
      <c r="O5" s="3">
        <f>(E5-K5)^2</f>
        <v>4</v>
      </c>
      <c r="Q5" cm="1">
        <f t="array" ref="Q5">CORREL(_xlfn.RANK.AVG(E2:E27,E2:E27,1),_xlfn.RANK.AVG(K2:K27,K2:K27,1))</f>
        <v>0.97333333333333338</v>
      </c>
      <c r="R5">
        <f>Q5*SQRT((COUNT(K2:K27)-2)/(1-Q5^2))</f>
        <v>20.786560106979749</v>
      </c>
      <c r="S5">
        <f>_xlfn.T.DIST.2T(ABS(R5), COUNT(K2:K27)-2)</f>
        <v>7.4500149702619099E-17</v>
      </c>
      <c r="T5" t="s">
        <v>43</v>
      </c>
    </row>
    <row r="6" spans="1:20" x14ac:dyDescent="0.2">
      <c r="A6" t="s">
        <v>12</v>
      </c>
      <c r="B6" t="s">
        <v>47</v>
      </c>
      <c r="C6" t="s">
        <v>49</v>
      </c>
      <c r="D6">
        <v>205</v>
      </c>
      <c r="E6" s="3">
        <v>22</v>
      </c>
      <c r="F6" s="1">
        <v>1.6574218813196699</v>
      </c>
      <c r="G6" s="1">
        <v>1.492882092778165</v>
      </c>
      <c r="H6" s="1">
        <v>1.5061694824952461</v>
      </c>
      <c r="I6" t="s">
        <v>12</v>
      </c>
      <c r="J6">
        <v>211</v>
      </c>
      <c r="K6">
        <v>25</v>
      </c>
      <c r="L6" s="1">
        <v>2.251219863592294</v>
      </c>
      <c r="M6" s="1">
        <v>1.978862200226126</v>
      </c>
      <c r="N6" s="1">
        <v>2.005503652452421</v>
      </c>
      <c r="O6" s="3">
        <f>(E6-K6)^2</f>
        <v>9</v>
      </c>
    </row>
    <row r="7" spans="1:20" x14ac:dyDescent="0.2">
      <c r="A7" t="s">
        <v>14</v>
      </c>
      <c r="B7" t="s">
        <v>47</v>
      </c>
      <c r="C7" t="s">
        <v>45</v>
      </c>
      <c r="D7">
        <v>231</v>
      </c>
      <c r="E7" s="3">
        <v>3</v>
      </c>
      <c r="F7" s="1">
        <v>0.2776890425367371</v>
      </c>
      <c r="G7" s="1">
        <v>0.21009956170520949</v>
      </c>
      <c r="H7" s="1">
        <v>0.17852389195847149</v>
      </c>
      <c r="I7" t="s">
        <v>14</v>
      </c>
      <c r="J7">
        <v>248</v>
      </c>
      <c r="K7">
        <v>3</v>
      </c>
      <c r="L7" s="1">
        <v>0.31221691763301329</v>
      </c>
      <c r="M7" s="1">
        <v>0.22074400521016149</v>
      </c>
      <c r="N7" s="1">
        <v>0.17772449362672921</v>
      </c>
      <c r="O7" s="3">
        <f>(E7-K7)^2</f>
        <v>0</v>
      </c>
    </row>
    <row r="8" spans="1:20" x14ac:dyDescent="0.2">
      <c r="A8" t="s">
        <v>9</v>
      </c>
      <c r="B8" t="s">
        <v>50</v>
      </c>
      <c r="C8" t="s">
        <v>46</v>
      </c>
      <c r="D8">
        <v>229</v>
      </c>
      <c r="E8" s="3">
        <v>21</v>
      </c>
      <c r="F8" s="1">
        <v>1.573291802574275</v>
      </c>
      <c r="G8" s="1">
        <v>1.38448112261975</v>
      </c>
      <c r="H8" s="1">
        <v>1.35619691416844</v>
      </c>
      <c r="I8" t="s">
        <v>9</v>
      </c>
      <c r="J8">
        <v>243</v>
      </c>
      <c r="K8">
        <v>21</v>
      </c>
      <c r="L8" s="1">
        <v>1.7227769806201441</v>
      </c>
      <c r="M8" s="1">
        <v>1.4908003657362789</v>
      </c>
      <c r="N8" s="1">
        <v>1.457835258182488</v>
      </c>
      <c r="O8" s="3">
        <f>(E8-K8)^2</f>
        <v>0</v>
      </c>
    </row>
    <row r="9" spans="1:20" x14ac:dyDescent="0.2">
      <c r="A9" t="s">
        <v>13</v>
      </c>
      <c r="B9" t="s">
        <v>50</v>
      </c>
      <c r="C9" t="s">
        <v>49</v>
      </c>
      <c r="D9">
        <v>260</v>
      </c>
      <c r="E9" s="3">
        <v>9</v>
      </c>
      <c r="F9" s="1">
        <v>0.72335920211115157</v>
      </c>
      <c r="G9" s="1">
        <v>0.54643421679481063</v>
      </c>
      <c r="H9" s="1">
        <v>0.47550039126975158</v>
      </c>
      <c r="I9" t="s">
        <v>13</v>
      </c>
      <c r="J9">
        <v>336</v>
      </c>
      <c r="K9">
        <v>14</v>
      </c>
      <c r="L9" s="1">
        <v>1.372777961372242</v>
      </c>
      <c r="M9" s="1">
        <v>0.94281128597454578</v>
      </c>
      <c r="N9" s="1">
        <v>0.84251825245464695</v>
      </c>
      <c r="O9" s="3">
        <f>(E9-K9)^2</f>
        <v>25</v>
      </c>
    </row>
    <row r="10" spans="1:20" x14ac:dyDescent="0.2">
      <c r="A10" t="s">
        <v>25</v>
      </c>
      <c r="B10" t="s">
        <v>50</v>
      </c>
      <c r="C10" t="s">
        <v>45</v>
      </c>
      <c r="D10">
        <v>270</v>
      </c>
      <c r="E10" s="3">
        <v>11</v>
      </c>
      <c r="F10" s="1">
        <v>0.5350493604549813</v>
      </c>
      <c r="G10" s="1">
        <v>0.46689558332147618</v>
      </c>
      <c r="H10" s="1">
        <v>0.48820047296329178</v>
      </c>
      <c r="I10" t="s">
        <v>25</v>
      </c>
      <c r="J10">
        <v>274</v>
      </c>
      <c r="K10">
        <v>8</v>
      </c>
      <c r="L10" s="1">
        <v>0.56348835446173273</v>
      </c>
      <c r="M10" s="1">
        <v>0.49635272056044488</v>
      </c>
      <c r="N10" s="1">
        <v>0.49283538983049169</v>
      </c>
      <c r="O10" s="3">
        <f>(E10-K10)^2</f>
        <v>9</v>
      </c>
    </row>
    <row r="11" spans="1:20" x14ac:dyDescent="0.2">
      <c r="A11" t="s">
        <v>1</v>
      </c>
      <c r="B11" t="s">
        <v>51</v>
      </c>
      <c r="C11" t="s">
        <v>45</v>
      </c>
      <c r="D11">
        <v>363</v>
      </c>
      <c r="E11" s="3">
        <v>10</v>
      </c>
      <c r="F11" s="1">
        <v>0.56206489746281751</v>
      </c>
      <c r="G11" s="1">
        <v>0.48350621603292682</v>
      </c>
      <c r="H11" s="1">
        <v>0.48450363259732088</v>
      </c>
      <c r="I11" t="s">
        <v>1</v>
      </c>
      <c r="J11">
        <v>338</v>
      </c>
      <c r="K11">
        <v>10</v>
      </c>
      <c r="L11" s="1">
        <v>0.7683876328285435</v>
      </c>
      <c r="M11" s="1">
        <v>0.67056626226216076</v>
      </c>
      <c r="N11" s="1">
        <v>0.64720102818289482</v>
      </c>
      <c r="O11" s="3">
        <f>(E11-K11)^2</f>
        <v>0</v>
      </c>
    </row>
    <row r="12" spans="1:20" x14ac:dyDescent="0.2">
      <c r="A12" t="s">
        <v>5</v>
      </c>
      <c r="B12" t="s">
        <v>51</v>
      </c>
      <c r="C12" t="s">
        <v>49</v>
      </c>
      <c r="D12">
        <v>152</v>
      </c>
      <c r="E12" s="3">
        <v>20</v>
      </c>
      <c r="F12" s="1">
        <v>1.658204279897008</v>
      </c>
      <c r="G12" s="1">
        <v>1.398959615848349</v>
      </c>
      <c r="H12" s="1">
        <v>1.3023351351298711</v>
      </c>
      <c r="I12" t="s">
        <v>5</v>
      </c>
      <c r="J12">
        <v>282</v>
      </c>
      <c r="K12">
        <v>20</v>
      </c>
      <c r="L12" s="1">
        <v>1.604745528775654</v>
      </c>
      <c r="M12" s="1">
        <v>1.4272025470463841</v>
      </c>
      <c r="N12" s="1">
        <v>1.4146275350336399</v>
      </c>
      <c r="O12" s="3">
        <f>(E12-K12)^2</f>
        <v>0</v>
      </c>
    </row>
    <row r="13" spans="1:20" x14ac:dyDescent="0.2">
      <c r="A13" t="s">
        <v>10</v>
      </c>
      <c r="B13" t="s">
        <v>51</v>
      </c>
      <c r="C13" t="s">
        <v>49</v>
      </c>
      <c r="D13">
        <v>298</v>
      </c>
      <c r="E13" s="3">
        <v>25</v>
      </c>
      <c r="F13" s="1">
        <v>1.877521913022155</v>
      </c>
      <c r="G13" s="1">
        <v>1.6463452714865701</v>
      </c>
      <c r="H13" s="1">
        <v>1.7336025722306689</v>
      </c>
      <c r="I13" t="s">
        <v>10</v>
      </c>
      <c r="J13">
        <v>278</v>
      </c>
      <c r="K13">
        <v>24</v>
      </c>
      <c r="L13" s="1">
        <v>2.0426960286209881</v>
      </c>
      <c r="M13" s="1">
        <v>1.775749234501071</v>
      </c>
      <c r="N13" s="1">
        <v>1.831794144298533</v>
      </c>
      <c r="O13" s="3">
        <f>(E13-K13)^2</f>
        <v>1</v>
      </c>
    </row>
    <row r="14" spans="1:20" x14ac:dyDescent="0.2">
      <c r="A14" t="s">
        <v>19</v>
      </c>
      <c r="B14" t="s">
        <v>51</v>
      </c>
      <c r="C14" t="s">
        <v>49</v>
      </c>
      <c r="D14">
        <v>157</v>
      </c>
      <c r="E14" s="3">
        <v>26</v>
      </c>
      <c r="F14" s="1">
        <v>2.6807846094910048</v>
      </c>
      <c r="G14" s="1">
        <v>2.625210211239664</v>
      </c>
      <c r="H14" s="1">
        <v>2.5635508576971899</v>
      </c>
      <c r="I14" t="s">
        <v>19</v>
      </c>
      <c r="J14">
        <v>308</v>
      </c>
      <c r="K14">
        <v>26</v>
      </c>
      <c r="L14" s="1">
        <v>3.5110562794441251</v>
      </c>
      <c r="M14" s="1">
        <v>3.3017124659265078</v>
      </c>
      <c r="N14" s="1">
        <v>3.1064900696401359</v>
      </c>
      <c r="O14" s="3">
        <f>(E14-K14)^2</f>
        <v>0</v>
      </c>
    </row>
    <row r="15" spans="1:20" x14ac:dyDescent="0.2">
      <c r="A15" t="s">
        <v>20</v>
      </c>
      <c r="B15" t="s">
        <v>51</v>
      </c>
      <c r="C15" t="s">
        <v>49</v>
      </c>
      <c r="D15">
        <v>330</v>
      </c>
      <c r="E15" s="3">
        <v>24</v>
      </c>
      <c r="F15" s="1">
        <v>1.8601334766600339</v>
      </c>
      <c r="G15" s="1">
        <v>1.644259566462015</v>
      </c>
      <c r="H15" s="1">
        <v>1.692894441105</v>
      </c>
      <c r="I15" t="s">
        <v>20</v>
      </c>
      <c r="J15">
        <v>355</v>
      </c>
      <c r="K15">
        <v>22</v>
      </c>
      <c r="L15" s="1">
        <v>1.7481718130614969</v>
      </c>
      <c r="M15" s="1">
        <v>1.4436553933220171</v>
      </c>
      <c r="N15" s="1">
        <v>1.546548993727648</v>
      </c>
      <c r="O15" s="3">
        <f>(E15-K15)^2</f>
        <v>4</v>
      </c>
    </row>
    <row r="16" spans="1:20" x14ac:dyDescent="0.2">
      <c r="A16" t="s">
        <v>21</v>
      </c>
      <c r="B16" t="s">
        <v>51</v>
      </c>
      <c r="C16" t="s">
        <v>46</v>
      </c>
      <c r="D16">
        <v>366</v>
      </c>
      <c r="E16" s="3">
        <v>18</v>
      </c>
      <c r="F16" s="1">
        <v>1.108991998213724</v>
      </c>
      <c r="G16" s="1">
        <v>1.0377471078832889</v>
      </c>
      <c r="H16" s="1">
        <v>1.0620060068188719</v>
      </c>
      <c r="I16" t="s">
        <v>21</v>
      </c>
      <c r="J16">
        <v>300</v>
      </c>
      <c r="K16">
        <v>16</v>
      </c>
      <c r="L16" s="1">
        <v>1.1308000315827089</v>
      </c>
      <c r="M16" s="1">
        <v>1.042511685143414</v>
      </c>
      <c r="N16" s="1">
        <v>1.0127476607200161</v>
      </c>
      <c r="O16" s="3">
        <f>(E16-K16)^2</f>
        <v>4</v>
      </c>
    </row>
    <row r="17" spans="1:15" x14ac:dyDescent="0.2">
      <c r="A17" t="s">
        <v>22</v>
      </c>
      <c r="B17" t="s">
        <v>51</v>
      </c>
      <c r="C17" t="s">
        <v>49</v>
      </c>
      <c r="D17">
        <v>262</v>
      </c>
      <c r="E17" s="3">
        <v>23</v>
      </c>
      <c r="F17" s="1">
        <v>2.1064346848772622</v>
      </c>
      <c r="G17" s="1">
        <v>1.7267589589830701</v>
      </c>
      <c r="H17" s="1">
        <v>1.6719055113110419</v>
      </c>
      <c r="I17" t="s">
        <v>22</v>
      </c>
      <c r="J17">
        <v>227</v>
      </c>
      <c r="K17">
        <v>23</v>
      </c>
      <c r="L17" s="1">
        <v>2.6616607172359021</v>
      </c>
      <c r="M17" s="1">
        <v>2.11858483093856</v>
      </c>
      <c r="N17" s="1">
        <v>1.8159720399829939</v>
      </c>
      <c r="O17" s="3">
        <f>(E17-K17)^2</f>
        <v>0</v>
      </c>
    </row>
    <row r="18" spans="1:15" x14ac:dyDescent="0.2">
      <c r="A18" t="s">
        <v>23</v>
      </c>
      <c r="B18" t="s">
        <v>51</v>
      </c>
      <c r="C18" t="s">
        <v>46</v>
      </c>
      <c r="D18">
        <v>401</v>
      </c>
      <c r="E18" s="3">
        <v>12</v>
      </c>
      <c r="F18" s="1">
        <v>0.74891939042876754</v>
      </c>
      <c r="G18" s="1">
        <v>0.60331777817222576</v>
      </c>
      <c r="H18" s="1">
        <v>0.5555892547557052</v>
      </c>
      <c r="I18" t="s">
        <v>23</v>
      </c>
      <c r="J18">
        <v>382</v>
      </c>
      <c r="K18">
        <v>11</v>
      </c>
      <c r="L18" s="1">
        <v>1.007539094766327</v>
      </c>
      <c r="M18" s="1">
        <v>0.80157815259824738</v>
      </c>
      <c r="N18" s="1">
        <v>0.72818262766282138</v>
      </c>
      <c r="O18" s="3">
        <f>(E18-K18)^2</f>
        <v>1</v>
      </c>
    </row>
    <row r="19" spans="1:15" x14ac:dyDescent="0.2">
      <c r="A19" t="s">
        <v>3</v>
      </c>
      <c r="B19" t="s">
        <v>48</v>
      </c>
      <c r="C19" t="s">
        <v>45</v>
      </c>
      <c r="D19">
        <v>263</v>
      </c>
      <c r="E19" s="3">
        <v>4</v>
      </c>
      <c r="F19" s="1">
        <v>0.44968575145210993</v>
      </c>
      <c r="G19" s="1">
        <v>0.29965000473510722</v>
      </c>
      <c r="H19" s="1">
        <v>0.21956550275487269</v>
      </c>
      <c r="I19" t="s">
        <v>3</v>
      </c>
      <c r="J19">
        <v>257</v>
      </c>
      <c r="K19">
        <v>4</v>
      </c>
      <c r="L19" s="1">
        <v>0.42776072983211633</v>
      </c>
      <c r="M19" s="1">
        <v>0.33532759505739651</v>
      </c>
      <c r="N19" s="1">
        <v>0.28519333793060447</v>
      </c>
      <c r="O19" s="3">
        <f>(E19-K19)^2</f>
        <v>0</v>
      </c>
    </row>
    <row r="20" spans="1:15" x14ac:dyDescent="0.2">
      <c r="A20" t="s">
        <v>6</v>
      </c>
      <c r="B20" t="s">
        <v>48</v>
      </c>
      <c r="C20" t="s">
        <v>49</v>
      </c>
      <c r="D20">
        <v>262</v>
      </c>
      <c r="E20" s="3">
        <v>19</v>
      </c>
      <c r="F20" s="1">
        <v>1.19118652367685</v>
      </c>
      <c r="G20" s="1">
        <v>0.91205460169296304</v>
      </c>
      <c r="H20" s="1">
        <v>1.067536880801097</v>
      </c>
      <c r="I20" t="s">
        <v>6</v>
      </c>
      <c r="J20">
        <v>276</v>
      </c>
      <c r="K20">
        <v>19</v>
      </c>
      <c r="L20" s="1">
        <v>1.4891842569567999</v>
      </c>
      <c r="M20" s="1">
        <v>1.116972853913305</v>
      </c>
      <c r="N20" s="1">
        <v>1.252561486793637</v>
      </c>
      <c r="O20" s="3">
        <f>(E20-K20)^2</f>
        <v>0</v>
      </c>
    </row>
    <row r="21" spans="1:15" x14ac:dyDescent="0.2">
      <c r="A21" t="s">
        <v>11</v>
      </c>
      <c r="B21" t="s">
        <v>48</v>
      </c>
      <c r="C21" t="s">
        <v>49</v>
      </c>
      <c r="D21">
        <v>258</v>
      </c>
      <c r="E21" s="3">
        <v>16</v>
      </c>
      <c r="F21" s="1">
        <v>1.0715567908783279</v>
      </c>
      <c r="G21" s="1">
        <v>0.9715468747996433</v>
      </c>
      <c r="H21" s="1">
        <v>0.92562293039515342</v>
      </c>
      <c r="I21" t="s">
        <v>11</v>
      </c>
      <c r="J21">
        <v>257</v>
      </c>
      <c r="K21">
        <v>18</v>
      </c>
      <c r="L21" s="1">
        <v>1.387728224879839</v>
      </c>
      <c r="M21" s="1">
        <v>1.2351468309981499</v>
      </c>
      <c r="N21" s="1">
        <v>1.238349502361914</v>
      </c>
      <c r="O21" s="3">
        <f>(E21-K21)^2</f>
        <v>4</v>
      </c>
    </row>
    <row r="22" spans="1:15" x14ac:dyDescent="0.2">
      <c r="A22" t="s">
        <v>15</v>
      </c>
      <c r="B22" t="s">
        <v>48</v>
      </c>
      <c r="C22" t="s">
        <v>46</v>
      </c>
      <c r="D22">
        <v>331</v>
      </c>
      <c r="E22" s="3">
        <v>17</v>
      </c>
      <c r="F22" s="1">
        <v>1.152032583281414</v>
      </c>
      <c r="G22" s="1">
        <v>1.033167893857398</v>
      </c>
      <c r="H22" s="1">
        <v>1.0121508978408309</v>
      </c>
      <c r="I22" t="s">
        <v>15</v>
      </c>
      <c r="J22">
        <v>298</v>
      </c>
      <c r="K22">
        <v>17</v>
      </c>
      <c r="L22" s="1">
        <v>1.232788276056983</v>
      </c>
      <c r="M22" s="1">
        <v>1.1083322043796751</v>
      </c>
      <c r="N22" s="1">
        <v>1.0811279087677781</v>
      </c>
      <c r="O22" s="3">
        <f>(E22-K22)^2</f>
        <v>0</v>
      </c>
    </row>
    <row r="23" spans="1:15" x14ac:dyDescent="0.2">
      <c r="A23" t="s">
        <v>16</v>
      </c>
      <c r="B23" t="s">
        <v>48</v>
      </c>
      <c r="C23" t="s">
        <v>46</v>
      </c>
      <c r="D23">
        <v>297</v>
      </c>
      <c r="E23" s="3">
        <v>5</v>
      </c>
      <c r="F23" s="1">
        <v>0.41143132400958149</v>
      </c>
      <c r="G23" s="1">
        <v>0.33113785194993789</v>
      </c>
      <c r="H23" s="1">
        <v>0.30362552593614389</v>
      </c>
      <c r="I23" t="s">
        <v>16</v>
      </c>
      <c r="J23">
        <v>285</v>
      </c>
      <c r="K23">
        <v>6</v>
      </c>
      <c r="L23" s="1">
        <v>0.47671454056946377</v>
      </c>
      <c r="M23" s="1">
        <v>0.38989923529340031</v>
      </c>
      <c r="N23" s="1">
        <v>0.37828926762465781</v>
      </c>
      <c r="O23" s="3">
        <f>(E23-K23)^2</f>
        <v>1</v>
      </c>
    </row>
    <row r="24" spans="1:15" x14ac:dyDescent="0.2">
      <c r="A24" t="s">
        <v>17</v>
      </c>
      <c r="B24" t="s">
        <v>48</v>
      </c>
      <c r="C24" t="s">
        <v>49</v>
      </c>
      <c r="D24">
        <v>278</v>
      </c>
      <c r="E24" s="3">
        <v>14</v>
      </c>
      <c r="F24" s="1">
        <v>0.91338630420786171</v>
      </c>
      <c r="G24" s="1">
        <v>0.81128902918266399</v>
      </c>
      <c r="H24" s="1">
        <v>0.83218159022111893</v>
      </c>
      <c r="I24" t="s">
        <v>17</v>
      </c>
      <c r="J24">
        <v>254</v>
      </c>
      <c r="K24">
        <v>15</v>
      </c>
      <c r="L24" s="1">
        <v>1.1067066908350689</v>
      </c>
      <c r="M24" s="1">
        <v>0.96765629064026071</v>
      </c>
      <c r="N24" s="1">
        <v>0.96296339945729548</v>
      </c>
      <c r="O24" s="3">
        <f>(E24-K24)^2</f>
        <v>1</v>
      </c>
    </row>
    <row r="25" spans="1:15" x14ac:dyDescent="0.2">
      <c r="A25" t="s">
        <v>4</v>
      </c>
      <c r="B25" t="s">
        <v>44</v>
      </c>
      <c r="C25" t="s">
        <v>46</v>
      </c>
      <c r="D25">
        <v>293</v>
      </c>
      <c r="E25" s="3">
        <v>2</v>
      </c>
      <c r="F25" s="1">
        <v>0.26545515660832297</v>
      </c>
      <c r="G25" s="1">
        <v>0.15559193288723611</v>
      </c>
      <c r="H25" s="1">
        <v>0.10405397637764729</v>
      </c>
      <c r="I25" t="s">
        <v>4</v>
      </c>
      <c r="J25">
        <v>319</v>
      </c>
      <c r="K25">
        <v>2</v>
      </c>
      <c r="L25" s="1">
        <v>0.3571848265939816</v>
      </c>
      <c r="M25" s="1">
        <v>0.17158875228986481</v>
      </c>
      <c r="N25" s="1">
        <v>0.1167644637721597</v>
      </c>
      <c r="O25" s="3">
        <f>(E25-K25)^2</f>
        <v>0</v>
      </c>
    </row>
    <row r="26" spans="1:15" x14ac:dyDescent="0.2">
      <c r="A26" t="s">
        <v>18</v>
      </c>
      <c r="B26" t="s">
        <v>44</v>
      </c>
      <c r="C26" t="s">
        <v>49</v>
      </c>
      <c r="D26">
        <v>185</v>
      </c>
      <c r="E26" s="3">
        <v>8</v>
      </c>
      <c r="F26" s="1">
        <v>0.50697649252722654</v>
      </c>
      <c r="G26" s="1">
        <v>0.36226013060075052</v>
      </c>
      <c r="H26" s="1">
        <v>0.39345450817089361</v>
      </c>
      <c r="I26" t="s">
        <v>18</v>
      </c>
      <c r="J26">
        <v>220</v>
      </c>
      <c r="K26">
        <v>7</v>
      </c>
      <c r="L26" s="1">
        <v>0.58286751800008585</v>
      </c>
      <c r="M26" s="1">
        <v>0.40638490800608801</v>
      </c>
      <c r="N26" s="1">
        <v>0.45310699987817149</v>
      </c>
      <c r="O26" s="3">
        <f>(E26-K26)^2</f>
        <v>1</v>
      </c>
    </row>
    <row r="27" spans="1:15" x14ac:dyDescent="0.2">
      <c r="A27" t="s">
        <v>24</v>
      </c>
      <c r="B27" t="s">
        <v>44</v>
      </c>
      <c r="C27" t="s">
        <v>45</v>
      </c>
      <c r="D27">
        <v>200</v>
      </c>
      <c r="E27" s="3">
        <v>1</v>
      </c>
      <c r="F27" s="1">
        <v>0.14836033327868081</v>
      </c>
      <c r="G27" s="1">
        <v>0.1152134696862408</v>
      </c>
      <c r="H27" s="1">
        <v>9.7055680662052821E-2</v>
      </c>
      <c r="I27" t="s">
        <v>24</v>
      </c>
      <c r="J27">
        <v>278</v>
      </c>
      <c r="K27">
        <v>1</v>
      </c>
      <c r="L27" s="1">
        <v>0.10619274483585089</v>
      </c>
      <c r="M27" s="1">
        <v>8.3717168737379208E-2</v>
      </c>
      <c r="N27" s="1">
        <v>7.0435317978319992E-2</v>
      </c>
      <c r="O27" s="3">
        <f>(E27-K27)^2</f>
        <v>0</v>
      </c>
    </row>
  </sheetData>
  <autoFilter ref="A1:O31" xr:uid="{87791574-25EF-DE4B-90F0-6CE3F6682B8D}">
    <sortState xmlns:xlrd2="http://schemas.microsoft.com/office/spreadsheetml/2017/richdata2" ref="A2:O28">
      <sortCondition ref="B1:B3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2025-11-13T01:15:06Z</dcterms:created>
  <dcterms:modified xsi:type="dcterms:W3CDTF">2025-12-17T23:15:10Z</dcterms:modified>
</cp:coreProperties>
</file>