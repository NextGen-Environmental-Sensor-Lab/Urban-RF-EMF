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ngensadmin/Library/CloudStorage/Dropbox-GraduateCenter/Ricardo Toledo-Crow/Urban RF-EMF measurements/RT-C/"/>
    </mc:Choice>
  </mc:AlternateContent>
  <xr:revisionPtr revIDLastSave="0" documentId="13_ncr:1_{B4596F3D-AAC0-D447-8818-F10B7427AF2D}" xr6:coauthVersionLast="47" xr6:coauthVersionMax="47" xr10:uidLastSave="{00000000-0000-0000-0000-000000000000}"/>
  <bookViews>
    <workbookView xWindow="1180" yWindow="500" windowWidth="37220" windowHeight="211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Sheet1!$A$1:$BJ$27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 a="1"/>
  <c r="N46" i="2" s="1"/>
  <c r="N45" i="2" a="1"/>
  <c r="N45" i="2" s="1"/>
  <c r="N44" i="2" a="1"/>
  <c r="N4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<sst xmlns="http://schemas.openxmlformats.org/spreadsheetml/2006/main" count="358" uniqueCount="180">
  <si>
    <t>date</t>
  </si>
  <si>
    <t>borough</t>
  </si>
  <si>
    <t>location</t>
  </si>
  <si>
    <t>environment</t>
  </si>
  <si>
    <t>note</t>
  </si>
  <si>
    <t>start time</t>
  </si>
  <si>
    <t>end time</t>
  </si>
  <si>
    <t>N</t>
  </si>
  <si>
    <t>Broadcast MIN</t>
  </si>
  <si>
    <t>Broadcast P25</t>
  </si>
  <si>
    <t>Broadcast MEAN</t>
  </si>
  <si>
    <t>Broadcast GEOMEAN</t>
  </si>
  <si>
    <t>Broadcast MEDIAN</t>
  </si>
  <si>
    <t>Broadcast P75</t>
  </si>
  <si>
    <t>Broadcast P90</t>
  </si>
  <si>
    <t>Broadcast MAX</t>
  </si>
  <si>
    <t>Broadcast STDEV</t>
  </si>
  <si>
    <t>Downlink MIN</t>
  </si>
  <si>
    <t>Downlink P25</t>
  </si>
  <si>
    <t>Downlink MEAN</t>
  </si>
  <si>
    <t>Downlink GEOMEAN</t>
  </si>
  <si>
    <t>Downlink MEDIAN</t>
  </si>
  <si>
    <t>Downlink P75</t>
  </si>
  <si>
    <t>Downlink P90</t>
  </si>
  <si>
    <t>Downlink MAX</t>
  </si>
  <si>
    <t>Downlink STDEV</t>
  </si>
  <si>
    <t>Uplink MIN</t>
  </si>
  <si>
    <t>Uplink P25</t>
  </si>
  <si>
    <t>Uplink MEAN</t>
  </si>
  <si>
    <t>Uplink GEOMEAN</t>
  </si>
  <si>
    <t>Uplink MEDIAN</t>
  </si>
  <si>
    <t>Uplink P75</t>
  </si>
  <si>
    <t>Uplink P90</t>
  </si>
  <si>
    <t>Uplink MAX</t>
  </si>
  <si>
    <t>Uplink STDEV</t>
  </si>
  <si>
    <t>WLAN MIN</t>
  </si>
  <si>
    <t>WLAN P25</t>
  </si>
  <si>
    <t>WLAN MEAN</t>
  </si>
  <si>
    <t>WLAN GEOMEAN</t>
  </si>
  <si>
    <t>WLAN MEDIAN</t>
  </si>
  <si>
    <t>WLAN P75</t>
  </si>
  <si>
    <t>WLAN P90</t>
  </si>
  <si>
    <t>WLAN MAX</t>
  </si>
  <si>
    <t>WLAN STDEV</t>
  </si>
  <si>
    <t>TDD MIN</t>
  </si>
  <si>
    <t>TDD P25</t>
  </si>
  <si>
    <t>TDD MEAN</t>
  </si>
  <si>
    <t>TDD GEOMEAN</t>
  </si>
  <si>
    <t>TDD MEDIAN</t>
  </si>
  <si>
    <t>TDD P75</t>
  </si>
  <si>
    <t>TDD P90</t>
  </si>
  <si>
    <t>TDD MAX</t>
  </si>
  <si>
    <t>TDD STDEV</t>
  </si>
  <si>
    <t>Total MIN</t>
  </si>
  <si>
    <t>Total P25</t>
  </si>
  <si>
    <t>Total MEAN</t>
  </si>
  <si>
    <t>Total GEOMEAN</t>
  </si>
  <si>
    <t>Total MEDIAN</t>
  </si>
  <si>
    <t>Total P75</t>
  </si>
  <si>
    <t>Total P90</t>
  </si>
  <si>
    <t>Total MAX</t>
  </si>
  <si>
    <t>Total STDEV</t>
  </si>
  <si>
    <t>2025-04-11</t>
  </si>
  <si>
    <t>M</t>
  </si>
  <si>
    <t>Central Park</t>
  </si>
  <si>
    <t>G</t>
  </si>
  <si>
    <t>10:02:13</t>
  </si>
  <si>
    <t>10:41:27</t>
  </si>
  <si>
    <t>Times Square</t>
  </si>
  <si>
    <t>C</t>
  </si>
  <si>
    <t>11:12:33</t>
  </si>
  <si>
    <t>11:48:18</t>
  </si>
  <si>
    <t>Wall Street</t>
  </si>
  <si>
    <t>12:19:28</t>
  </si>
  <si>
    <t>12:45:46</t>
  </si>
  <si>
    <t>2025-04-25</t>
  </si>
  <si>
    <t>Q</t>
  </si>
  <si>
    <t>Queens Plaza</t>
  </si>
  <si>
    <t>R</t>
  </si>
  <si>
    <t>10:21:58</t>
  </si>
  <si>
    <t>10:56:33</t>
  </si>
  <si>
    <t>Roosevelt Avenue</t>
  </si>
  <si>
    <t>11:18:20</t>
  </si>
  <si>
    <t>11:47:48</t>
  </si>
  <si>
    <t>Corona Park</t>
  </si>
  <si>
    <t>12:06:43</t>
  </si>
  <si>
    <t>12:36:32</t>
  </si>
  <si>
    <t>Rego Park</t>
  </si>
  <si>
    <t>13:31:46</t>
  </si>
  <si>
    <t>14:04:50</t>
  </si>
  <si>
    <t>2025-05-02</t>
  </si>
  <si>
    <t>BK</t>
  </si>
  <si>
    <t>Jay Street</t>
  </si>
  <si>
    <t>09:58:41</t>
  </si>
  <si>
    <t>10:23:08</t>
  </si>
  <si>
    <t>Grand Army Plaza</t>
  </si>
  <si>
    <t>10:40:27</t>
  </si>
  <si>
    <t>11:17:22</t>
  </si>
  <si>
    <t>Prospect Park</t>
  </si>
  <si>
    <t>12:22:22</t>
  </si>
  <si>
    <t>12:51:07</t>
  </si>
  <si>
    <t>Coney Island</t>
  </si>
  <si>
    <t>13:52:40</t>
  </si>
  <si>
    <t>14:19:48</t>
  </si>
  <si>
    <t>Bensonhurst</t>
  </si>
  <si>
    <t>14:48:42</t>
  </si>
  <si>
    <t>15:20:08</t>
  </si>
  <si>
    <t>2025-05-09</t>
  </si>
  <si>
    <t>Upper East Side</t>
  </si>
  <si>
    <t>10:24:27</t>
  </si>
  <si>
    <t>11:05:40</t>
  </si>
  <si>
    <t>BX</t>
  </si>
  <si>
    <t>Mott Haven</t>
  </si>
  <si>
    <t>11:43:27</t>
  </si>
  <si>
    <t>12:22:27</t>
  </si>
  <si>
    <t>Woodlawn</t>
  </si>
  <si>
    <t>13:15:40</t>
  </si>
  <si>
    <t>13:47:27</t>
  </si>
  <si>
    <t>Grand Concourse</t>
  </si>
  <si>
    <t>14:25:59</t>
  </si>
  <si>
    <t>14:54:10</t>
  </si>
  <si>
    <t>Upper West Side</t>
  </si>
  <si>
    <t>15:45:45</t>
  </si>
  <si>
    <t>16:20:33</t>
  </si>
  <si>
    <t>2025-05-16</t>
  </si>
  <si>
    <t>Jamaica</t>
  </si>
  <si>
    <t>09:34:17</t>
  </si>
  <si>
    <t>10:04:05</t>
  </si>
  <si>
    <t>West Harlem</t>
  </si>
  <si>
    <t>11:14:04</t>
  </si>
  <si>
    <t>11:58:25</t>
  </si>
  <si>
    <t>Fulton Street</t>
  </si>
  <si>
    <t>14:38:42</t>
  </si>
  <si>
    <t>15:06:24</t>
  </si>
  <si>
    <t>Houston Street</t>
  </si>
  <si>
    <t>15:51:41</t>
  </si>
  <si>
    <t>16:23:56</t>
  </si>
  <si>
    <t>Flatiron</t>
  </si>
  <si>
    <t>16:39:47</t>
  </si>
  <si>
    <t>17:12:29</t>
  </si>
  <si>
    <t>2025-05-23</t>
  </si>
  <si>
    <t>SI</t>
  </si>
  <si>
    <t>Willowbrook Park</t>
  </si>
  <si>
    <t>09:33:48</t>
  </si>
  <si>
    <t>10:06:03</t>
  </si>
  <si>
    <t>Eltingville</t>
  </si>
  <si>
    <t>10:31:42</t>
  </si>
  <si>
    <t>11:08:44</t>
  </si>
  <si>
    <t>St George</t>
  </si>
  <si>
    <t>12:30:21</t>
  </si>
  <si>
    <t>12:55:50</t>
  </si>
  <si>
    <t>Fresh Pond</t>
  </si>
  <si>
    <t>15:06:56</t>
  </si>
  <si>
    <t>15:38:57</t>
  </si>
  <si>
    <t>Label</t>
  </si>
  <si>
    <t>Category</t>
  </si>
  <si>
    <t>MIN</t>
  </si>
  <si>
    <t>P25</t>
  </si>
  <si>
    <t>MEAN</t>
  </si>
  <si>
    <t>GEOMEAN</t>
  </si>
  <si>
    <t>MEDIAN</t>
  </si>
  <si>
    <t>P75</t>
  </si>
  <si>
    <t>P90</t>
  </si>
  <si>
    <t>MAX</t>
  </si>
  <si>
    <t>STDEV</t>
  </si>
  <si>
    <t>Totals</t>
  </si>
  <si>
    <t>Broadcast</t>
  </si>
  <si>
    <t>Downlink</t>
  </si>
  <si>
    <t>Uplink</t>
  </si>
  <si>
    <t>WLAN</t>
  </si>
  <si>
    <t>TDD</t>
  </si>
  <si>
    <t>Total</t>
  </si>
  <si>
    <t>Manhattan</t>
  </si>
  <si>
    <t>Brooklyn</t>
  </si>
  <si>
    <t>Queens</t>
  </si>
  <si>
    <t>Bronx</t>
  </si>
  <si>
    <t>Staten Island</t>
  </si>
  <si>
    <t>Commercial</t>
  </si>
  <si>
    <t>Residential</t>
  </si>
  <si>
    <t>Greenery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</si>
</sst>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4"/>
      <color theme="1"/>
      <name val="Aptos Narrow"/>
      <family val="2"/>
      <scheme val="minor"/>
    </font>
    <font>
      <b/>
      <sz val="14"/>
      <name val="Aptos Narrow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Sheet2!$P$2:$P$7</c:f>
              <c:numCache>
                <c:formatCode>General</c:formatCode>
                <c:ptCount val="6"/>
                <c:pt idx="0">
                  <c:v>0.1030583742442371</c:v>
                </c:pt>
                <c:pt idx="1">
                  <c:v>2.4953611768773601E-2</c:v>
                </c:pt>
                <c:pt idx="2">
                  <c:v>7.923147210871842E-2</c:v>
                </c:pt>
                <c:pt idx="3">
                  <c:v>6.8239898109634101E-2</c:v>
                </c:pt>
                <c:pt idx="4">
                  <c:v>4.2283505206199702E-2</c:v>
                </c:pt>
                <c:pt idx="5">
                  <c:v>0.18701700833618831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F4-464E-8724-591537FDDF22}"/>
            </c:ext>
          </c:extLst>
        </c:ser>
        <c:ser>
          <c:idx val="4"/>
          <c:order val="1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Sheet2!$Q$2:$Q$7</c:f>
              <c:numCache>
                <c:formatCode>General</c:formatCode>
                <c:ptCount val="6"/>
                <c:pt idx="0">
                  <c:v>9.3572821562167591E-2</c:v>
                </c:pt>
                <c:pt idx="1">
                  <c:v>3.2960602422155288E-2</c:v>
                </c:pt>
                <c:pt idx="2">
                  <c:v>9.5325958417659909E-2</c:v>
                </c:pt>
                <c:pt idx="3">
                  <c:v>8.8277862861027359E-2</c:v>
                </c:pt>
                <c:pt idx="4">
                  <c:v>9.4763990543571874E-2</c:v>
                </c:pt>
                <c:pt idx="5">
                  <c:v>0.1153158962248399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F4-464E-8724-591537FDDF22}"/>
            </c:ext>
          </c:extLst>
        </c:ser>
        <c:ser>
          <c:idx val="2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Sheet2!$N$2:$N$7</c:f>
              <c:numCache>
                <c:formatCode>General</c:formatCode>
                <c:ptCount val="6"/>
                <c:pt idx="0">
                  <c:v>0.26116037483355792</c:v>
                </c:pt>
                <c:pt idx="1">
                  <c:v>9.4351844211308392E-2</c:v>
                </c:pt>
                <c:pt idx="2">
                  <c:v>0.28706861881245432</c:v>
                </c:pt>
                <c:pt idx="3">
                  <c:v>0.18668734155306971</c:v>
                </c:pt>
                <c:pt idx="4">
                  <c:v>0.24858673557201569</c:v>
                </c:pt>
                <c:pt idx="5">
                  <c:v>0.34947157097705212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4-464E-8724-591537FDDF22}"/>
            </c:ext>
          </c:extLst>
        </c:ser>
        <c:ser>
          <c:idx val="1"/>
          <c:order val="3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Sheet2!$R$2:$R$7</c:f>
              <c:numCache>
                <c:formatCode>General</c:formatCode>
                <c:ptCount val="6"/>
                <c:pt idx="0">
                  <c:v>0.50873642784357809</c:v>
                </c:pt>
                <c:pt idx="1">
                  <c:v>9.0333781746649397E-2</c:v>
                </c:pt>
                <c:pt idx="2">
                  <c:v>0.45194735570840661</c:v>
                </c:pt>
                <c:pt idx="3">
                  <c:v>0.40671300096749252</c:v>
                </c:pt>
                <c:pt idx="4">
                  <c:v>0.4488396785446781</c:v>
                </c:pt>
                <c:pt idx="5">
                  <c:v>0.76804830705637295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F4-464E-8724-591537FDDF22}"/>
            </c:ext>
          </c:extLst>
        </c:ser>
        <c:ser>
          <c:idx val="3"/>
          <c:order val="4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Sheet2!$O$2:$O$7</c:f>
              <c:numCache>
                <c:formatCode>General</c:formatCode>
                <c:ptCount val="6"/>
                <c:pt idx="0">
                  <c:v>0.96357453447944152</c:v>
                </c:pt>
                <c:pt idx="1">
                  <c:v>0.27723595148011448</c:v>
                </c:pt>
                <c:pt idx="2">
                  <c:v>0.77427784448192938</c:v>
                </c:pt>
                <c:pt idx="3">
                  <c:v>0.77925351270637488</c:v>
                </c:pt>
                <c:pt idx="4">
                  <c:v>0.97533273879012772</c:v>
                </c:pt>
                <c:pt idx="5">
                  <c:v>1.424727110502203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F4-464E-8724-591537FDDF22}"/>
            </c:ext>
          </c:extLst>
        </c:ser>
        <c:ser>
          <c:idx val="5"/>
          <c:order val="5"/>
          <c:tx>
            <c:strRef>
              <c:f>Sheet2!$S$1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Sheet2!$S$2:$S$7</c:f>
              <c:numCache>
                <c:formatCode>General</c:formatCode>
                <c:ptCount val="6"/>
                <c:pt idx="0">
                  <c:v>1.1958567004581231</c:v>
                </c:pt>
                <c:pt idx="1">
                  <c:v>0.33255128116017812</c:v>
                </c:pt>
                <c:pt idx="2">
                  <c:v>1.021471153091847</c:v>
                </c:pt>
                <c:pt idx="3">
                  <c:v>0.944803189056592</c:v>
                </c:pt>
                <c:pt idx="4">
                  <c:v>1.2125252173907191</c:v>
                </c:pt>
                <c:pt idx="5">
                  <c:v>1.7451198417656431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F4-464E-8724-591537FDD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3"/>
          <c:order val="0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Sheet2!$O$2:$O$7</c:f>
              <c:numCache>
                <c:formatCode>General</c:formatCode>
                <c:ptCount val="6"/>
                <c:pt idx="0">
                  <c:v>0.96357453447944152</c:v>
                </c:pt>
                <c:pt idx="1">
                  <c:v>0.27723595148011448</c:v>
                </c:pt>
                <c:pt idx="2">
                  <c:v>0.77427784448192938</c:v>
                </c:pt>
                <c:pt idx="3">
                  <c:v>0.77925351270637488</c:v>
                </c:pt>
                <c:pt idx="4">
                  <c:v>0.97533273879012772</c:v>
                </c:pt>
                <c:pt idx="5">
                  <c:v>1.424727110502203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A2-904B-A004-D5D1E9AB4BC7}"/>
            </c:ext>
          </c:extLst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Sheet2!$R$2:$R$7</c:f>
              <c:numCache>
                <c:formatCode>General</c:formatCode>
                <c:ptCount val="6"/>
                <c:pt idx="0">
                  <c:v>0.50873642784357809</c:v>
                </c:pt>
                <c:pt idx="1">
                  <c:v>9.0333781746649397E-2</c:v>
                </c:pt>
                <c:pt idx="2">
                  <c:v>0.45194735570840661</c:v>
                </c:pt>
                <c:pt idx="3">
                  <c:v>0.40671300096749252</c:v>
                </c:pt>
                <c:pt idx="4">
                  <c:v>0.4488396785446781</c:v>
                </c:pt>
                <c:pt idx="5">
                  <c:v>0.76804830705637295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A2-904B-A004-D5D1E9AB4BC7}"/>
            </c:ext>
          </c:extLst>
        </c:ser>
        <c:ser>
          <c:idx val="2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Sheet2!$N$2:$N$7</c:f>
              <c:numCache>
                <c:formatCode>General</c:formatCode>
                <c:ptCount val="6"/>
                <c:pt idx="0">
                  <c:v>0.26116037483355792</c:v>
                </c:pt>
                <c:pt idx="1">
                  <c:v>9.4351844211308392E-2</c:v>
                </c:pt>
                <c:pt idx="2">
                  <c:v>0.28706861881245432</c:v>
                </c:pt>
                <c:pt idx="3">
                  <c:v>0.18668734155306971</c:v>
                </c:pt>
                <c:pt idx="4">
                  <c:v>0.24858673557201569</c:v>
                </c:pt>
                <c:pt idx="5">
                  <c:v>0.34947157097705212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A2-904B-A004-D5D1E9AB4BC7}"/>
            </c:ext>
          </c:extLst>
        </c:ser>
        <c:ser>
          <c:idx val="4"/>
          <c:order val="3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Sheet2!$Q$2:$Q$7</c:f>
              <c:numCache>
                <c:formatCode>General</c:formatCode>
                <c:ptCount val="6"/>
                <c:pt idx="0">
                  <c:v>9.3572821562167591E-2</c:v>
                </c:pt>
                <c:pt idx="1">
                  <c:v>3.2960602422155288E-2</c:v>
                </c:pt>
                <c:pt idx="2">
                  <c:v>9.5325958417659909E-2</c:v>
                </c:pt>
                <c:pt idx="3">
                  <c:v>8.8277862861027359E-2</c:v>
                </c:pt>
                <c:pt idx="4">
                  <c:v>9.4763990543571874E-2</c:v>
                </c:pt>
                <c:pt idx="5">
                  <c:v>0.1153158962248399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A2-904B-A004-D5D1E9AB4BC7}"/>
            </c:ext>
          </c:extLst>
        </c:ser>
        <c:ser>
          <c:idx val="0"/>
          <c:order val="4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Sheet2!$M$2:$M$7</c:f>
              <c:strCache>
                <c:ptCount val="6"/>
                <c:pt idx="0">
                  <c:v>Totals</c:v>
                </c:pt>
                <c:pt idx="1">
                  <c:v>Staten Island</c:v>
                </c:pt>
                <c:pt idx="2">
                  <c:v>Queens</c:v>
                </c:pt>
                <c:pt idx="3">
                  <c:v>Brooklyn</c:v>
                </c:pt>
                <c:pt idx="4">
                  <c:v>Bronx</c:v>
                </c:pt>
                <c:pt idx="5">
                  <c:v>Manhattan</c:v>
                </c:pt>
              </c:strCache>
            </c:strRef>
          </c:cat>
          <c:val>
            <c:numRef>
              <c:f>Sheet2!$P$2:$P$7</c:f>
              <c:numCache>
                <c:formatCode>General</c:formatCode>
                <c:ptCount val="6"/>
                <c:pt idx="0">
                  <c:v>0.1030583742442371</c:v>
                </c:pt>
                <c:pt idx="1">
                  <c:v>2.4953611768773601E-2</c:v>
                </c:pt>
                <c:pt idx="2">
                  <c:v>7.923147210871842E-2</c:v>
                </c:pt>
                <c:pt idx="3">
                  <c:v>6.8239898109634101E-2</c:v>
                </c:pt>
                <c:pt idx="4">
                  <c:v>4.2283505206199702E-2</c:v>
                </c:pt>
                <c:pt idx="5">
                  <c:v>0.18701700833618831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A2-904B-A004-D5D1E9AB4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Sheet2!$P$43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Sheet2!$P$44:$P$46</c:f>
              <c:numCache>
                <c:formatCode>General</c:formatCode>
                <c:ptCount val="3"/>
                <c:pt idx="0">
                  <c:v>5.0609565244598212E-2</c:v>
                </c:pt>
                <c:pt idx="1">
                  <c:v>6.1678628067990751E-2</c:v>
                </c:pt>
                <c:pt idx="2">
                  <c:v>0.14626158771876879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CC-0C4A-8238-C00E39BC7DE3}"/>
            </c:ext>
          </c:extLst>
        </c:ser>
        <c:ser>
          <c:idx val="1"/>
          <c:order val="1"/>
          <c:tx>
            <c:strRef>
              <c:f>Sheet2!$Q$43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Sheet2!$Q$44:$Q$46</c:f>
              <c:numCache>
                <c:formatCode>General</c:formatCode>
                <c:ptCount val="3"/>
                <c:pt idx="0">
                  <c:v>2.6052183181004319E-2</c:v>
                </c:pt>
                <c:pt idx="1">
                  <c:v>8.4846815957648605E-2</c:v>
                </c:pt>
                <c:pt idx="2">
                  <c:v>0.1236978409227375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CC-0C4A-8238-C00E39BC7DE3}"/>
            </c:ext>
          </c:extLst>
        </c:ser>
        <c:ser>
          <c:idx val="0"/>
          <c:order val="2"/>
          <c:tx>
            <c:strRef>
              <c:f>Sheet2!$N$43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Sheet2!$N$44:$N$46</c:f>
              <c:numCache>
                <c:formatCode>General</c:formatCode>
                <c:ptCount val="3"/>
                <c:pt idx="0">
                  <c:v>0.21423100960725319</c:v>
                </c:pt>
                <c:pt idx="1">
                  <c:v>0.2033148665536072</c:v>
                </c:pt>
                <c:pt idx="2">
                  <c:v>0.31173270134134567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C-0C4A-8238-C00E39BC7DE3}"/>
            </c:ext>
          </c:extLst>
        </c:ser>
        <c:ser>
          <c:idx val="3"/>
          <c:order val="3"/>
          <c:tx>
            <c:strRef>
              <c:f>Sheet2!$R$43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Sheet2!$R$44:$R$46</c:f>
              <c:numCache>
                <c:formatCode>General</c:formatCode>
                <c:ptCount val="3"/>
                <c:pt idx="0">
                  <c:v>0.12704431655397569</c:v>
                </c:pt>
                <c:pt idx="1">
                  <c:v>0.35059222998567618</c:v>
                </c:pt>
                <c:pt idx="2">
                  <c:v>0.74130841281001225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CC-0C4A-8238-C00E39BC7DE3}"/>
            </c:ext>
          </c:extLst>
        </c:ser>
        <c:ser>
          <c:idx val="4"/>
          <c:order val="4"/>
          <c:tx>
            <c:strRef>
              <c:f>Sheet2!$O$43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Sheet2!$O$44:$O$46</c:f>
              <c:numCache>
                <c:formatCode>General</c:formatCode>
                <c:ptCount val="3"/>
                <c:pt idx="0">
                  <c:v>0.31991651498995499</c:v>
                </c:pt>
                <c:pt idx="1">
                  <c:v>0.70720495656634019</c:v>
                </c:pt>
                <c:pt idx="2">
                  <c:v>1.3498647377375621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CC-0C4A-8238-C00E39BC7DE3}"/>
            </c:ext>
          </c:extLst>
        </c:ser>
        <c:ser>
          <c:idx val="5"/>
          <c:order val="5"/>
          <c:tx>
            <c:strRef>
              <c:f>Sheet2!$S$43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Sheet2!$S$44:$S$46</c:f>
              <c:numCache>
                <c:formatCode>General</c:formatCode>
                <c:ptCount val="3"/>
                <c:pt idx="0">
                  <c:v>0.45232739442492492</c:v>
                </c:pt>
                <c:pt idx="1">
                  <c:v>0.88856152674906153</c:v>
                </c:pt>
                <c:pt idx="2">
                  <c:v>1.648463832134283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C-0C4A-8238-C00E39BC7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Mean values by borough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4"/>
          <c:order val="0"/>
          <c:tx>
            <c:strRef>
              <c:f>Sheet2!$O$43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Sheet2!$O$44:$O$46</c:f>
              <c:numCache>
                <c:formatCode>General</c:formatCode>
                <c:ptCount val="3"/>
                <c:pt idx="0">
                  <c:v>0.31991651498995499</c:v>
                </c:pt>
                <c:pt idx="1">
                  <c:v>0.70720495656634019</c:v>
                </c:pt>
                <c:pt idx="2">
                  <c:v>1.3498647377375621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F5-2948-91FF-AEBA5BDF4561}"/>
            </c:ext>
          </c:extLst>
        </c:ser>
        <c:ser>
          <c:idx val="3"/>
          <c:order val="1"/>
          <c:tx>
            <c:strRef>
              <c:f>Sheet2!$R$43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Sheet2!$R$44:$R$46</c:f>
              <c:numCache>
                <c:formatCode>General</c:formatCode>
                <c:ptCount val="3"/>
                <c:pt idx="0">
                  <c:v>0.12704431655397569</c:v>
                </c:pt>
                <c:pt idx="1">
                  <c:v>0.35059222998567618</c:v>
                </c:pt>
                <c:pt idx="2">
                  <c:v>0.74130841281001225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F5-2948-91FF-AEBA5BDF4561}"/>
            </c:ext>
          </c:extLst>
        </c:ser>
        <c:ser>
          <c:idx val="0"/>
          <c:order val="2"/>
          <c:tx>
            <c:strRef>
              <c:f>Sheet2!$N$43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Sheet2!$N$44:$N$46</c:f>
              <c:numCache>
                <c:formatCode>General</c:formatCode>
                <c:ptCount val="3"/>
                <c:pt idx="0">
                  <c:v>0.21423100960725319</c:v>
                </c:pt>
                <c:pt idx="1">
                  <c:v>0.2033148665536072</c:v>
                </c:pt>
                <c:pt idx="2">
                  <c:v>0.31173270134134567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F5-2948-91FF-AEBA5BDF4561}"/>
            </c:ext>
          </c:extLst>
        </c:ser>
        <c:ser>
          <c:idx val="1"/>
          <c:order val="3"/>
          <c:tx>
            <c:strRef>
              <c:f>Sheet2!$Q$43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Sheet2!$Q$44:$Q$46</c:f>
              <c:numCache>
                <c:formatCode>General</c:formatCode>
                <c:ptCount val="3"/>
                <c:pt idx="0">
                  <c:v>2.6052183181004319E-2</c:v>
                </c:pt>
                <c:pt idx="1">
                  <c:v>8.4846815957648605E-2</c:v>
                </c:pt>
                <c:pt idx="2">
                  <c:v>0.1236978409227375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5-2948-91FF-AEBA5BDF4561}"/>
            </c:ext>
          </c:extLst>
        </c:ser>
        <c:ser>
          <c:idx val="2"/>
          <c:order val="4"/>
          <c:tx>
            <c:strRef>
              <c:f>Sheet2!$P$43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Sheet2!$M$44:$M$46</c:f>
              <c:strCache>
                <c:ptCount val="3"/>
                <c:pt idx="0">
                  <c:v>Greenery</c:v>
                </c:pt>
                <c:pt idx="1">
                  <c:v>Residential</c:v>
                </c:pt>
                <c:pt idx="2">
                  <c:v>Commercial</c:v>
                </c:pt>
              </c:strCache>
            </c:strRef>
          </c:cat>
          <c:val>
            <c:numRef>
              <c:f>Sheet2!$P$44:$P$46</c:f>
              <c:numCache>
                <c:formatCode>General</c:formatCode>
                <c:ptCount val="3"/>
                <c:pt idx="0">
                  <c:v>5.0609565244598212E-2</c:v>
                </c:pt>
                <c:pt idx="1">
                  <c:v>6.1678628067990751E-2</c:v>
                </c:pt>
                <c:pt idx="2">
                  <c:v>0.14626158771876879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5-2948-91FF-AEBA5BDF4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154755472"/>
        <c:axId val="1155132848"/>
      </c:barChart>
      <c:catAx>
        <c:axId val="115475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32848"/>
        <c:crosses val="autoZero"/>
        <c:auto val="1"/>
        <c:lblAlgn val="ctr"/>
        <c:lblOffset val="100"/>
        <c:noMultiLvlLbl val="0"/>
      </c:catAx>
      <c:valAx>
        <c:axId val="115513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75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25400</xdr:colOff>
      <xdr:row>7</xdr:row>
      <xdr:rowOff>63500</xdr:rowOff>
    </xdr:from>
    <xdr:to>
      <xdr:col>19</xdr:col>
      <xdr:colOff>482600</xdr:colOff>
      <xdr:row>20</xdr:row>
      <xdr:rowOff>215900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6C48C3-B3C2-CD4B-91BE-A1BD768777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50800</xdr:colOff>
      <xdr:row>21</xdr:row>
      <xdr:rowOff>38100</xdr:rowOff>
    </xdr:from>
    <xdr:to>
      <xdr:col>19</xdr:col>
      <xdr:colOff>508000</xdr:colOff>
      <xdr:row>34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ABBFF8-41F8-D14B-A928-36983722D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25400</xdr:colOff>
      <xdr:row>47</xdr:row>
      <xdr:rowOff>50800</xdr:rowOff>
    </xdr:from>
    <xdr:to>
      <xdr:col>19</xdr:col>
      <xdr:colOff>482600</xdr:colOff>
      <xdr:row>60</xdr:row>
      <xdr:rowOff>203200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CB869A-FA66-664A-9C43-2456499BEE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50800</xdr:colOff>
      <xdr:row>61</xdr:row>
      <xdr:rowOff>88900</xdr:rowOff>
    </xdr:from>
    <xdr:to>
      <xdr:col>19</xdr:col>
      <xdr:colOff>508000</xdr:colOff>
      <xdr:row>75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3A705E-7ED7-D942-8921-E621E1EA7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7"/>
  <sheetViews>
    <sheetView topLeftCell="AZ1" workbookViewId="0">
      <pane ySplit="1" topLeftCell="A2" activePane="bottomLeft" state="frozen"/>
      <selection activeCell="AO1" sqref="AO1"/>
      <selection pane="bottomLeft" activeCell="BD1" sqref="BD1:BF27"/>
    </sheetView>
  </sheetViews>
  <sheetFormatPr baseColWidth="10" defaultRowHeight="19" x14ac:dyDescent="0.25"/>
  <cols>
    <col min="1" max="1" width="10.140625" bestFit="1" customWidth="1"/>
    <col min="2" max="2" width="9.7109375" bestFit="1" customWidth="1"/>
    <col min="3" max="3" width="15.140625" bestFit="1" customWidth="1"/>
    <col min="4" max="4" width="13.42578125" hidden="1" customWidth="1"/>
    <col min="5" max="5" width="6.7109375" hidden="1" customWidth="1"/>
    <col min="6" max="6" width="11" hidden="1" customWidth="1"/>
    <col min="7" max="7" width="10.28515625" hidden="1" customWidth="1"/>
    <col min="8" max="8" width="4.42578125" bestFit="1" customWidth="1"/>
    <col min="9" max="9" width="15.140625" style="2" bestFit="1" customWidth="1"/>
    <col min="10" max="10" width="15" style="2" bestFit="1" customWidth="1"/>
    <col min="11" max="11" width="16.7109375" style="2" bestFit="1" customWidth="1"/>
    <col min="12" max="12" width="20.42578125" style="2" bestFit="1" customWidth="1"/>
    <col min="13" max="13" width="18.7109375" style="2" bestFit="1" customWidth="1"/>
    <col min="14" max="15" width="15" style="2" bestFit="1" customWidth="1"/>
    <col min="16" max="16" width="15.5703125" style="2" bestFit="1" customWidth="1"/>
    <col min="17" max="17" width="17.28515625" style="2" bestFit="1" customWidth="1"/>
    <col min="18" max="18" width="14.5703125" style="2" bestFit="1" customWidth="1"/>
    <col min="19" max="19" width="14.42578125" style="2" bestFit="1" customWidth="1"/>
    <col min="20" max="20" width="16.140625" style="2" bestFit="1" customWidth="1"/>
    <col min="21" max="21" width="19.85546875" style="2" bestFit="1" customWidth="1"/>
    <col min="22" max="22" width="18" style="2" bestFit="1" customWidth="1"/>
    <col min="23" max="24" width="14.42578125" style="2" bestFit="1" customWidth="1"/>
    <col min="25" max="25" width="15" style="2" bestFit="1" customWidth="1"/>
    <col min="26" max="26" width="16.7109375" style="2" bestFit="1" customWidth="1"/>
    <col min="27" max="27" width="12.28515625" style="2" bestFit="1" customWidth="1"/>
    <col min="28" max="28" width="12.140625" style="2" bestFit="1" customWidth="1"/>
    <col min="29" max="29" width="13.85546875" style="2" bestFit="1" customWidth="1"/>
    <col min="30" max="30" width="17.42578125" style="2" bestFit="1" customWidth="1"/>
    <col min="31" max="31" width="15.7109375" style="2" bestFit="1" customWidth="1"/>
    <col min="32" max="33" width="12.140625" style="2" bestFit="1" customWidth="1"/>
    <col min="34" max="34" width="12.7109375" style="2" bestFit="1" customWidth="1"/>
    <col min="35" max="35" width="14.42578125" style="2" bestFit="1" customWidth="1"/>
    <col min="36" max="36" width="11.85546875" style="2" bestFit="1" customWidth="1"/>
    <col min="37" max="37" width="11.7109375" style="2" bestFit="1" customWidth="1"/>
    <col min="38" max="38" width="13.42578125" style="2" bestFit="1" customWidth="1"/>
    <col min="39" max="39" width="17" style="2" bestFit="1" customWidth="1"/>
    <col min="40" max="40" width="15.28515625" style="2" bestFit="1" customWidth="1"/>
    <col min="41" max="42" width="11.7109375" style="2" bestFit="1" customWidth="1"/>
    <col min="43" max="43" width="12.28515625" style="2" bestFit="1" customWidth="1"/>
    <col min="44" max="44" width="14" style="2" bestFit="1" customWidth="1"/>
    <col min="45" max="45" width="10.28515625" style="2" bestFit="1" customWidth="1"/>
    <col min="46" max="46" width="10.140625" style="2" bestFit="1" customWidth="1"/>
    <col min="47" max="47" width="11.85546875" style="2" bestFit="1" customWidth="1"/>
    <col min="48" max="48" width="15.42578125" style="2" bestFit="1" customWidth="1"/>
    <col min="49" max="49" width="13.7109375" style="2" bestFit="1" customWidth="1"/>
    <col min="50" max="51" width="10.140625" style="2" bestFit="1" customWidth="1"/>
    <col min="52" max="52" width="10.7109375" style="2" bestFit="1" customWidth="1"/>
    <col min="53" max="53" width="12.42578125" style="2" bestFit="1" customWidth="1"/>
    <col min="54" max="54" width="10.85546875" style="2" bestFit="1" customWidth="1"/>
    <col min="55" max="55" width="10.7109375" style="2" bestFit="1" customWidth="1"/>
    <col min="56" max="56" width="12.42578125" style="2" bestFit="1" customWidth="1"/>
    <col min="57" max="57" width="16" style="2" bestFit="1" customWidth="1"/>
    <col min="58" max="58" width="14.28515625" style="2" bestFit="1" customWidth="1"/>
    <col min="59" max="60" width="10.7109375" style="2" bestFit="1" customWidth="1"/>
    <col min="61" max="61" width="11.28515625" style="2" bestFit="1" customWidth="1"/>
    <col min="62" max="62" width="13" style="2" bestFit="1" customWidth="1"/>
  </cols>
  <sheetData>
    <row r="1" spans="1:62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</row>
    <row r="2" spans="1:62" x14ac:dyDescent="0.25">
      <c r="A2" t="s">
        <v>90</v>
      </c>
      <c r="B2" t="s">
        <v>91</v>
      </c>
      <c r="C2" t="s">
        <v>104</v>
      </c>
      <c r="D2" t="s">
        <v>69</v>
      </c>
      <c r="F2" t="s">
        <v>105</v>
      </c>
      <c r="G2" t="s">
        <v>106</v>
      </c>
      <c r="H2">
        <v>271</v>
      </c>
      <c r="I2" s="2">
        <v>3.1616451413781402E-2</v>
      </c>
      <c r="J2" s="2">
        <v>7.1150056446659046E-2</v>
      </c>
      <c r="K2" s="2">
        <v>0.18588461620327049</v>
      </c>
      <c r="L2" s="2">
        <v>0.12358422159078029</v>
      </c>
      <c r="M2" s="2">
        <v>0.1055554356724465</v>
      </c>
      <c r="N2" s="2">
        <v>0.18792874548600791</v>
      </c>
      <c r="O2" s="2">
        <v>0.34568450934341849</v>
      </c>
      <c r="P2" s="2">
        <v>2.0754682025991151</v>
      </c>
      <c r="Q2" s="2">
        <v>0.25603933836481518</v>
      </c>
      <c r="R2" s="2">
        <v>0.1034634718149357</v>
      </c>
      <c r="S2" s="2">
        <v>0.29361360737770059</v>
      </c>
      <c r="T2" s="2">
        <v>1.034524646649152</v>
      </c>
      <c r="U2" s="2">
        <v>0.65590063357385653</v>
      </c>
      <c r="V2" s="2">
        <v>0.58677959235133592</v>
      </c>
      <c r="W2" s="2">
        <v>1.349535825112183</v>
      </c>
      <c r="X2" s="2">
        <v>2.697319725208712</v>
      </c>
      <c r="Y2" s="2">
        <v>5.2544038548630798</v>
      </c>
      <c r="Z2" s="2">
        <v>1.052833206856</v>
      </c>
      <c r="AA2" s="2">
        <v>1.372698073139174E-2</v>
      </c>
      <c r="AB2" s="2">
        <v>3.0042551921562431E-2</v>
      </c>
      <c r="AC2" s="2">
        <v>8.9324877462771152E-2</v>
      </c>
      <c r="AD2" s="2">
        <v>5.9805512055597969E-2</v>
      </c>
      <c r="AE2" s="2">
        <v>6.0396109146202463E-2</v>
      </c>
      <c r="AF2" s="2">
        <v>9.9174913941278045E-2</v>
      </c>
      <c r="AG2" s="2">
        <v>0.2080261041311883</v>
      </c>
      <c r="AH2" s="2">
        <v>0.91316334792850729</v>
      </c>
      <c r="AI2" s="2">
        <v>0.1071027839344353</v>
      </c>
      <c r="AJ2" s="2">
        <v>3.8875956579870807E-2</v>
      </c>
      <c r="AK2" s="2">
        <v>9.3536325160782585E-2</v>
      </c>
      <c r="AL2" s="2">
        <v>0.1594763409717338</v>
      </c>
      <c r="AM2" s="2">
        <v>0.13683749914986321</v>
      </c>
      <c r="AN2" s="2">
        <v>0.13289740403785169</v>
      </c>
      <c r="AO2" s="2">
        <v>0.19210280148857331</v>
      </c>
      <c r="AP2" s="2">
        <v>0.26457176720126441</v>
      </c>
      <c r="AQ2" s="2">
        <v>0.78142540910825298</v>
      </c>
      <c r="AR2" s="2">
        <v>0.10476312235745509</v>
      </c>
      <c r="AS2" s="2">
        <v>0.1205805125217172</v>
      </c>
      <c r="AT2" s="2">
        <v>0.29093819108954461</v>
      </c>
      <c r="AU2" s="2">
        <v>0.58386129172355339</v>
      </c>
      <c r="AV2" s="2">
        <v>0.46171118266854061</v>
      </c>
      <c r="AW2" s="2">
        <v>0.44865324026468367</v>
      </c>
      <c r="AX2" s="2">
        <v>0.70501365185718989</v>
      </c>
      <c r="AY2" s="2">
        <v>1.0518350345943039</v>
      </c>
      <c r="AZ2" s="2">
        <v>4.7584246311147984</v>
      </c>
      <c r="BA2" s="2">
        <v>0.51018101540419458</v>
      </c>
      <c r="BB2" s="2">
        <v>0.18255845639137069</v>
      </c>
      <c r="BC2" s="2">
        <v>0.5039089599978126</v>
      </c>
      <c r="BD2" s="2">
        <v>1.274862366220167</v>
      </c>
      <c r="BE2" s="2">
        <v>0.91239584088928882</v>
      </c>
      <c r="BF2" s="2">
        <v>0.79510738897333866</v>
      </c>
      <c r="BG2" s="2">
        <v>1.599177269230835</v>
      </c>
      <c r="BH2" s="2">
        <v>3.0199857168536419</v>
      </c>
      <c r="BI2" s="2">
        <v>5.7765712156953457</v>
      </c>
      <c r="BJ2" s="2">
        <v>1.1445651718900289</v>
      </c>
    </row>
    <row r="3" spans="1:62" x14ac:dyDescent="0.25">
      <c r="A3" t="s">
        <v>62</v>
      </c>
      <c r="B3" t="s">
        <v>63</v>
      </c>
      <c r="C3" t="s">
        <v>64</v>
      </c>
      <c r="D3" t="s">
        <v>65</v>
      </c>
      <c r="F3" t="s">
        <v>66</v>
      </c>
      <c r="G3" t="s">
        <v>67</v>
      </c>
      <c r="H3">
        <v>338</v>
      </c>
      <c r="I3" s="2">
        <v>0.107710862961913</v>
      </c>
      <c r="J3" s="2">
        <v>0.15432314561659341</v>
      </c>
      <c r="K3" s="2">
        <v>0.203615110368393</v>
      </c>
      <c r="L3" s="2">
        <v>0.19325781692496599</v>
      </c>
      <c r="M3" s="2">
        <v>0.18914246202282001</v>
      </c>
      <c r="N3" s="2">
        <v>0.22818725242104509</v>
      </c>
      <c r="O3" s="2">
        <v>0.27326826078689831</v>
      </c>
      <c r="P3" s="2">
        <v>0.68594085750886713</v>
      </c>
      <c r="Q3" s="2">
        <v>7.5767938860259634E-2</v>
      </c>
      <c r="R3" s="2">
        <v>0.14516091071634951</v>
      </c>
      <c r="S3" s="2">
        <v>0.36266021542575622</v>
      </c>
      <c r="T3" s="2">
        <v>0.68657350542756634</v>
      </c>
      <c r="U3" s="2">
        <v>0.57637977292842424</v>
      </c>
      <c r="V3" s="2">
        <v>0.58048264844436659</v>
      </c>
      <c r="W3" s="2">
        <v>0.92499458239309051</v>
      </c>
      <c r="X3" s="2">
        <v>1.230253406304473</v>
      </c>
      <c r="Y3" s="2">
        <v>2.6014465283760879</v>
      </c>
      <c r="Z3" s="2">
        <v>0.42232266173058841</v>
      </c>
      <c r="AA3" s="2">
        <v>1.513142425550219E-2</v>
      </c>
      <c r="AB3" s="2">
        <v>4.5842242333379461E-2</v>
      </c>
      <c r="AC3" s="2">
        <v>9.039546837470426E-2</v>
      </c>
      <c r="AD3" s="2">
        <v>7.4090961793584126E-2</v>
      </c>
      <c r="AE3" s="2">
        <v>7.3263201409001125E-2</v>
      </c>
      <c r="AF3" s="2">
        <v>0.11878414677812051</v>
      </c>
      <c r="AG3" s="2">
        <v>0.1716343278620153</v>
      </c>
      <c r="AH3" s="2">
        <v>0.41929883138401419</v>
      </c>
      <c r="AI3" s="2">
        <v>5.9642458003643761E-2</v>
      </c>
      <c r="AJ3" s="2">
        <v>6.581793068761734E-3</v>
      </c>
      <c r="AK3" s="2">
        <v>1.543080695697621E-2</v>
      </c>
      <c r="AL3" s="2">
        <v>2.8774576789431329E-2</v>
      </c>
      <c r="AM3" s="2">
        <v>2.3380389451282058E-2</v>
      </c>
      <c r="AN3" s="2">
        <v>2.3244006801019949E-2</v>
      </c>
      <c r="AO3" s="2">
        <v>3.3330432198346249E-2</v>
      </c>
      <c r="AP3" s="2">
        <v>5.3892861786724838E-2</v>
      </c>
      <c r="AQ3" s="2">
        <v>0.13859253226635271</v>
      </c>
      <c r="AR3" s="2">
        <v>2.1614797446704991E-2</v>
      </c>
      <c r="AS3" s="2">
        <v>4.6653831568264567E-2</v>
      </c>
      <c r="AT3" s="2">
        <v>9.0238470530470821E-2</v>
      </c>
      <c r="AU3" s="2">
        <v>0.1942843872182731</v>
      </c>
      <c r="AV3" s="2">
        <v>0.1513264115390586</v>
      </c>
      <c r="AW3" s="2">
        <v>0.13490617820224449</v>
      </c>
      <c r="AX3" s="2">
        <v>0.23015238319103951</v>
      </c>
      <c r="AY3" s="2">
        <v>0.39681741856247948</v>
      </c>
      <c r="AZ3" s="2">
        <v>1.268141987318455</v>
      </c>
      <c r="BA3" s="2">
        <v>0.17148716293650981</v>
      </c>
      <c r="BB3" s="2">
        <v>0.2031588541019072</v>
      </c>
      <c r="BC3" s="2">
        <v>0.44336740685796228</v>
      </c>
      <c r="BD3" s="2">
        <v>0.7683876328285435</v>
      </c>
      <c r="BE3" s="2">
        <v>0.67056626226216076</v>
      </c>
      <c r="BF3" s="2">
        <v>0.64720102818289482</v>
      </c>
      <c r="BG3" s="2">
        <v>0.99542222006926795</v>
      </c>
      <c r="BH3" s="2">
        <v>1.2895428511459821</v>
      </c>
      <c r="BI3" s="2">
        <v>2.7627516555057938</v>
      </c>
      <c r="BJ3" s="2">
        <v>0.43197970973223898</v>
      </c>
    </row>
    <row r="4" spans="1:62" x14ac:dyDescent="0.25">
      <c r="A4" t="s">
        <v>90</v>
      </c>
      <c r="B4" t="s">
        <v>91</v>
      </c>
      <c r="C4" t="s">
        <v>101</v>
      </c>
      <c r="D4" t="s">
        <v>69</v>
      </c>
      <c r="F4" t="s">
        <v>102</v>
      </c>
      <c r="G4" t="s">
        <v>103</v>
      </c>
      <c r="H4">
        <v>234</v>
      </c>
      <c r="I4" s="2">
        <v>2.8369525903687569E-2</v>
      </c>
      <c r="J4" s="2">
        <v>6.1815791067947379E-2</v>
      </c>
      <c r="K4" s="2">
        <v>0.10411037199439491</v>
      </c>
      <c r="L4" s="2">
        <v>8.779381810707057E-2</v>
      </c>
      <c r="M4" s="2">
        <v>8.8665332938314217E-2</v>
      </c>
      <c r="N4" s="2">
        <v>0.1152211528947181</v>
      </c>
      <c r="O4" s="2">
        <v>0.17832025214671379</v>
      </c>
      <c r="P4" s="2">
        <v>0.57760369631781272</v>
      </c>
      <c r="Q4" s="2">
        <v>7.6916863142283395E-2</v>
      </c>
      <c r="R4" s="2">
        <v>0.1195872066736238</v>
      </c>
      <c r="S4" s="2">
        <v>0.22156170915007159</v>
      </c>
      <c r="T4" s="2">
        <v>0.54707962977044189</v>
      </c>
      <c r="U4" s="2">
        <v>0.41301589517792608</v>
      </c>
      <c r="V4" s="2">
        <v>0.40610297285261471</v>
      </c>
      <c r="W4" s="2">
        <v>0.73816334421698548</v>
      </c>
      <c r="X4" s="2">
        <v>1.0153061490424169</v>
      </c>
      <c r="Y4" s="2">
        <v>3.465589303423013</v>
      </c>
      <c r="Z4" s="2">
        <v>0.47232387040658852</v>
      </c>
      <c r="AA4" s="2">
        <v>7.8765474670060859E-3</v>
      </c>
      <c r="AB4" s="2">
        <v>1.745006921918954E-2</v>
      </c>
      <c r="AC4" s="2">
        <v>2.843545120028294E-2</v>
      </c>
      <c r="AD4" s="2">
        <v>2.5057665525445021E-2</v>
      </c>
      <c r="AE4" s="2">
        <v>2.3174878598027839E-2</v>
      </c>
      <c r="AF4" s="2">
        <v>3.3218335534495089E-2</v>
      </c>
      <c r="AG4" s="2">
        <v>4.6838369244625373E-2</v>
      </c>
      <c r="AH4" s="2">
        <v>0.1350150361996767</v>
      </c>
      <c r="AI4" s="2">
        <v>1.7110311992311871E-2</v>
      </c>
      <c r="AJ4" s="2">
        <v>1.390934937371263E-2</v>
      </c>
      <c r="AK4" s="2">
        <v>2.627850089721857E-2</v>
      </c>
      <c r="AL4" s="2">
        <v>4.7490409302471268E-2</v>
      </c>
      <c r="AM4" s="2">
        <v>4.0263937830897253E-2</v>
      </c>
      <c r="AN4" s="2">
        <v>3.9013201219970942E-2</v>
      </c>
      <c r="AO4" s="2">
        <v>6.2155118422694333E-2</v>
      </c>
      <c r="AP4" s="2">
        <v>8.1451203837853883E-2</v>
      </c>
      <c r="AQ4" s="2">
        <v>0.23214777621161919</v>
      </c>
      <c r="AR4" s="2">
        <v>3.085433029912843E-2</v>
      </c>
      <c r="AS4" s="2">
        <v>7.884732081688002E-2</v>
      </c>
      <c r="AT4" s="2">
        <v>0.13820418314852079</v>
      </c>
      <c r="AU4" s="2">
        <v>0.26637356792216182</v>
      </c>
      <c r="AV4" s="2">
        <v>0.21843526355322221</v>
      </c>
      <c r="AW4" s="2">
        <v>0.19732167714085999</v>
      </c>
      <c r="AX4" s="2">
        <v>0.30588481365908182</v>
      </c>
      <c r="AY4" s="2">
        <v>0.5159745401310174</v>
      </c>
      <c r="AZ4" s="2">
        <v>1.1393529216182321</v>
      </c>
      <c r="BA4" s="2">
        <v>0.1986910898588429</v>
      </c>
      <c r="BB4" s="2">
        <v>0.15988811713194959</v>
      </c>
      <c r="BC4" s="2">
        <v>0.30664986144372769</v>
      </c>
      <c r="BD4" s="2">
        <v>0.64387947859494465</v>
      </c>
      <c r="BE4" s="2">
        <v>0.51679636277208985</v>
      </c>
      <c r="BF4" s="2">
        <v>0.49572460652700218</v>
      </c>
      <c r="BG4" s="2">
        <v>0.82919041188758591</v>
      </c>
      <c r="BH4" s="2">
        <v>1.167858032882626</v>
      </c>
      <c r="BI4" s="2">
        <v>3.598030056850555</v>
      </c>
      <c r="BJ4" s="2">
        <v>0.48905158823855738</v>
      </c>
    </row>
    <row r="5" spans="1:62" x14ac:dyDescent="0.25">
      <c r="A5" t="s">
        <v>75</v>
      </c>
      <c r="B5" t="s">
        <v>76</v>
      </c>
      <c r="C5" t="s">
        <v>84</v>
      </c>
      <c r="D5" t="s">
        <v>65</v>
      </c>
      <c r="F5" t="s">
        <v>85</v>
      </c>
      <c r="G5" t="s">
        <v>86</v>
      </c>
      <c r="H5">
        <v>257</v>
      </c>
      <c r="I5" s="2">
        <v>4.2967313157794729E-2</v>
      </c>
      <c r="J5" s="2">
        <v>0.11399903508363569</v>
      </c>
      <c r="K5" s="2">
        <v>0.22437854714613009</v>
      </c>
      <c r="L5" s="2">
        <v>0.17954007180134571</v>
      </c>
      <c r="M5" s="2">
        <v>0.1647253168156006</v>
      </c>
      <c r="N5" s="2">
        <v>0.26638719939216299</v>
      </c>
      <c r="O5" s="2">
        <v>0.42211260900955749</v>
      </c>
      <c r="P5" s="2">
        <v>1.4955657290804709</v>
      </c>
      <c r="Q5" s="2">
        <v>0.18550450137955851</v>
      </c>
      <c r="R5" s="2">
        <v>6.1822730447627428E-2</v>
      </c>
      <c r="S5" s="2">
        <v>0.1117511073770636</v>
      </c>
      <c r="T5" s="2">
        <v>0.29012274041964548</v>
      </c>
      <c r="U5" s="2">
        <v>0.2047617499518497</v>
      </c>
      <c r="V5" s="2">
        <v>0.17615473311835819</v>
      </c>
      <c r="W5" s="2">
        <v>0.33431260819777647</v>
      </c>
      <c r="X5" s="2">
        <v>0.54614181107693927</v>
      </c>
      <c r="Y5" s="2">
        <v>2.6220000171624709</v>
      </c>
      <c r="Z5" s="2">
        <v>0.33147889716065743</v>
      </c>
      <c r="AA5" s="2">
        <v>1.335402561027947E-2</v>
      </c>
      <c r="AB5" s="2">
        <v>2.4924285345822861E-2</v>
      </c>
      <c r="AC5" s="2">
        <v>9.1378258293903558E-2</v>
      </c>
      <c r="AD5" s="2">
        <v>5.7774671775680332E-2</v>
      </c>
      <c r="AE5" s="2">
        <v>4.6228129964340968E-2</v>
      </c>
      <c r="AF5" s="2">
        <v>0.1241782992313874</v>
      </c>
      <c r="AG5" s="2">
        <v>0.2326815958821</v>
      </c>
      <c r="AH5" s="2">
        <v>0.48222047861947959</v>
      </c>
      <c r="AI5" s="2">
        <v>9.6057521731190643E-2</v>
      </c>
      <c r="AJ5" s="2">
        <v>6.581793068761734E-3</v>
      </c>
      <c r="AK5" s="2">
        <v>1.250399936020472E-2</v>
      </c>
      <c r="AL5" s="2">
        <v>2.7206723927749241E-2</v>
      </c>
      <c r="AM5" s="2">
        <v>1.9825725628320759E-2</v>
      </c>
      <c r="AN5" s="2">
        <v>1.5803164240113431E-2</v>
      </c>
      <c r="AO5" s="2">
        <v>3.1920369672044847E-2</v>
      </c>
      <c r="AP5" s="2">
        <v>6.1103140109030327E-2</v>
      </c>
      <c r="AQ5" s="2">
        <v>0.18787024777755529</v>
      </c>
      <c r="AR5" s="2">
        <v>2.6392867355272031E-2</v>
      </c>
      <c r="AS5" s="2">
        <v>4.6736816322894739E-2</v>
      </c>
      <c r="AT5" s="2">
        <v>6.7335726030094897E-2</v>
      </c>
      <c r="AU5" s="2">
        <v>0.1264310302308071</v>
      </c>
      <c r="AV5" s="2">
        <v>0.1060065948670216</v>
      </c>
      <c r="AW5" s="2">
        <v>9.3246662138652459E-2</v>
      </c>
      <c r="AX5" s="2">
        <v>0.15852211202226649</v>
      </c>
      <c r="AY5" s="2">
        <v>0.24854590591443579</v>
      </c>
      <c r="AZ5" s="2">
        <v>0.53252045970084572</v>
      </c>
      <c r="BA5" s="2">
        <v>8.6833984491816882E-2</v>
      </c>
      <c r="BB5" s="2">
        <v>0.11948481075015351</v>
      </c>
      <c r="BC5" s="2">
        <v>0.19521562437468989</v>
      </c>
      <c r="BD5" s="2">
        <v>0.42776072983211633</v>
      </c>
      <c r="BE5" s="2">
        <v>0.33532759505739651</v>
      </c>
      <c r="BF5" s="2">
        <v>0.28519333793060447</v>
      </c>
      <c r="BG5" s="2">
        <v>0.51703605290153609</v>
      </c>
      <c r="BH5" s="2">
        <v>0.82928757627313909</v>
      </c>
      <c r="BI5" s="2">
        <v>2.6706450962267532</v>
      </c>
      <c r="BJ5" s="2">
        <v>0.37185385123407072</v>
      </c>
    </row>
    <row r="6" spans="1:62" x14ac:dyDescent="0.25">
      <c r="A6" t="s">
        <v>140</v>
      </c>
      <c r="B6" t="s">
        <v>141</v>
      </c>
      <c r="C6" t="s">
        <v>145</v>
      </c>
      <c r="D6" t="s">
        <v>78</v>
      </c>
      <c r="F6" t="s">
        <v>146</v>
      </c>
      <c r="G6" t="s">
        <v>147</v>
      </c>
      <c r="H6">
        <v>319</v>
      </c>
      <c r="I6" s="2">
        <v>1.675589448522519E-2</v>
      </c>
      <c r="J6" s="2">
        <v>3.4540188160399103E-2</v>
      </c>
      <c r="K6" s="2">
        <v>0.1031177848227539</v>
      </c>
      <c r="L6" s="2">
        <v>5.5474542637574988E-2</v>
      </c>
      <c r="M6" s="2">
        <v>4.7589494639048227E-2</v>
      </c>
      <c r="N6" s="2">
        <v>7.2599823624112533E-2</v>
      </c>
      <c r="O6" s="2">
        <v>0.1280824029093719</v>
      </c>
      <c r="P6" s="2">
        <v>4.7076399511857323</v>
      </c>
      <c r="Q6" s="2">
        <v>0.31787253127662368</v>
      </c>
      <c r="R6" s="2">
        <v>2.1966565503054869E-2</v>
      </c>
      <c r="S6" s="2">
        <v>4.781454798843688E-2</v>
      </c>
      <c r="T6" s="2">
        <v>0.29255724708030401</v>
      </c>
      <c r="U6" s="2">
        <v>0.1197159893366639</v>
      </c>
      <c r="V6" s="2">
        <v>7.9577823544000004E-2</v>
      </c>
      <c r="W6" s="2">
        <v>0.2640259584656387</v>
      </c>
      <c r="X6" s="2">
        <v>0.5827554689467298</v>
      </c>
      <c r="Y6" s="2">
        <v>6.0750427504668636</v>
      </c>
      <c r="Z6" s="2">
        <v>0.67292570681235642</v>
      </c>
      <c r="AA6" s="2">
        <v>4.2485291572496014E-3</v>
      </c>
      <c r="AB6" s="2">
        <v>7.1021123618258816E-3</v>
      </c>
      <c r="AC6" s="2">
        <v>3.8395507649711107E-2</v>
      </c>
      <c r="AD6" s="2">
        <v>1.6658829960435859E-2</v>
      </c>
      <c r="AE6" s="2">
        <v>1.268266533501535E-2</v>
      </c>
      <c r="AF6" s="2">
        <v>3.014116399686621E-2</v>
      </c>
      <c r="AG6" s="2">
        <v>0.1021516257656387</v>
      </c>
      <c r="AH6" s="2">
        <v>0.33857706655944669</v>
      </c>
      <c r="AI6" s="2">
        <v>6.5838909386108257E-2</v>
      </c>
      <c r="AJ6" s="2">
        <v>6.581793068761734E-3</v>
      </c>
      <c r="AK6" s="2">
        <v>2.0683326618317462E-2</v>
      </c>
      <c r="AL6" s="2">
        <v>4.4087293498228833E-2</v>
      </c>
      <c r="AM6" s="2">
        <v>3.2467972334869727E-2</v>
      </c>
      <c r="AN6" s="2">
        <v>3.0050956723538771E-2</v>
      </c>
      <c r="AO6" s="2">
        <v>4.7341292655937062E-2</v>
      </c>
      <c r="AP6" s="2">
        <v>7.8463738568481503E-2</v>
      </c>
      <c r="AQ6" s="2">
        <v>0.64824404355150067</v>
      </c>
      <c r="AR6" s="2">
        <v>5.8477575288297612E-2</v>
      </c>
      <c r="AS6" s="2">
        <v>6.3592452382338583E-3</v>
      </c>
      <c r="AT6" s="2">
        <v>1.490268432196025E-2</v>
      </c>
      <c r="AU6" s="2">
        <v>9.081031238250295E-2</v>
      </c>
      <c r="AV6" s="2">
        <v>3.728626156433297E-2</v>
      </c>
      <c r="AW6" s="2">
        <v>2.3924882444852271E-2</v>
      </c>
      <c r="AX6" s="2">
        <v>8.3208814166380346E-2</v>
      </c>
      <c r="AY6" s="2">
        <v>0.270721101695377</v>
      </c>
      <c r="AZ6" s="2">
        <v>1.3920433075159691</v>
      </c>
      <c r="BA6" s="2">
        <v>0.1577937792776338</v>
      </c>
      <c r="BB6" s="2">
        <v>4.2133478375277783E-2</v>
      </c>
      <c r="BC6" s="2">
        <v>7.8428454193446961E-2</v>
      </c>
      <c r="BD6" s="2">
        <v>0.3571848265939816</v>
      </c>
      <c r="BE6" s="2">
        <v>0.17158875228986481</v>
      </c>
      <c r="BF6" s="2">
        <v>0.1167644637721597</v>
      </c>
      <c r="BG6" s="2">
        <v>0.33684265266975483</v>
      </c>
      <c r="BH6" s="2">
        <v>0.69302499854415589</v>
      </c>
      <c r="BI6" s="2">
        <v>7.3370776696175168</v>
      </c>
      <c r="BJ6" s="2">
        <v>0.75284110307144447</v>
      </c>
    </row>
    <row r="7" spans="1:62" x14ac:dyDescent="0.25">
      <c r="A7" t="s">
        <v>124</v>
      </c>
      <c r="B7" t="s">
        <v>63</v>
      </c>
      <c r="C7" t="s">
        <v>137</v>
      </c>
      <c r="D7" t="s">
        <v>69</v>
      </c>
      <c r="F7" t="s">
        <v>138</v>
      </c>
      <c r="G7" t="s">
        <v>139</v>
      </c>
      <c r="H7">
        <v>282</v>
      </c>
      <c r="I7" s="2">
        <v>7.9574493400837942E-2</v>
      </c>
      <c r="J7" s="2">
        <v>0.20247623777512549</v>
      </c>
      <c r="K7" s="2">
        <v>0.41511626191105189</v>
      </c>
      <c r="L7" s="2">
        <v>0.3319863646479288</v>
      </c>
      <c r="M7" s="2">
        <v>0.31710483362176117</v>
      </c>
      <c r="N7" s="2">
        <v>0.49587739657518332</v>
      </c>
      <c r="O7" s="2">
        <v>0.82745573410792406</v>
      </c>
      <c r="P7" s="2">
        <v>3.0155622029731042</v>
      </c>
      <c r="Q7" s="2">
        <v>0.33029080498153018</v>
      </c>
      <c r="R7" s="2">
        <v>0.34556436448221922</v>
      </c>
      <c r="S7" s="2">
        <v>0.80075411083507375</v>
      </c>
      <c r="T7" s="2">
        <v>1.3447279307206359</v>
      </c>
      <c r="U7" s="2">
        <v>1.159006607419917</v>
      </c>
      <c r="V7" s="2">
        <v>1.167245892089084</v>
      </c>
      <c r="W7" s="2">
        <v>1.654566693332945</v>
      </c>
      <c r="X7" s="2">
        <v>2.3551513857022521</v>
      </c>
      <c r="Y7" s="2">
        <v>5.6270227243187847</v>
      </c>
      <c r="Z7" s="2">
        <v>0.78979865583636788</v>
      </c>
      <c r="AA7" s="2">
        <v>5.3273070119902052E-2</v>
      </c>
      <c r="AB7" s="2">
        <v>0.1181121660206257</v>
      </c>
      <c r="AC7" s="2">
        <v>0.20438808245947279</v>
      </c>
      <c r="AD7" s="2">
        <v>0.17459861649715699</v>
      </c>
      <c r="AE7" s="2">
        <v>0.17160084303000961</v>
      </c>
      <c r="AF7" s="2">
        <v>0.24771394903915009</v>
      </c>
      <c r="AG7" s="2">
        <v>0.36956470625861759</v>
      </c>
      <c r="AH7" s="2">
        <v>0.90381414571802321</v>
      </c>
      <c r="AI7" s="2">
        <v>0.12641071445827409</v>
      </c>
      <c r="AJ7" s="2">
        <v>1.6917446615846009E-2</v>
      </c>
      <c r="AK7" s="2">
        <v>4.4717224564595773E-2</v>
      </c>
      <c r="AL7" s="2">
        <v>7.5533401742092374E-2</v>
      </c>
      <c r="AM7" s="2">
        <v>6.3679794964575029E-2</v>
      </c>
      <c r="AN7" s="2">
        <v>6.0605621257778117E-2</v>
      </c>
      <c r="AO7" s="2">
        <v>8.6929358469816642E-2</v>
      </c>
      <c r="AP7" s="2">
        <v>0.1337080788786966</v>
      </c>
      <c r="AQ7" s="2">
        <v>0.65121051127880281</v>
      </c>
      <c r="AR7" s="2">
        <v>5.8438317464089902E-2</v>
      </c>
      <c r="AS7" s="2">
        <v>0.1060810539163332</v>
      </c>
      <c r="AT7" s="2">
        <v>0.33120179616173651</v>
      </c>
      <c r="AU7" s="2">
        <v>0.57199163511694506</v>
      </c>
      <c r="AV7" s="2">
        <v>0.47859031767604859</v>
      </c>
      <c r="AW7" s="2">
        <v>0.46041427755157699</v>
      </c>
      <c r="AX7" s="2">
        <v>0.70754143527378421</v>
      </c>
      <c r="AY7" s="2">
        <v>1.0472859970222079</v>
      </c>
      <c r="AZ7" s="2">
        <v>3.2453652182766741</v>
      </c>
      <c r="BA7" s="2">
        <v>0.38862969204501868</v>
      </c>
      <c r="BB7" s="2">
        <v>0.41512034399677378</v>
      </c>
      <c r="BC7" s="2">
        <v>1.0260258565039251</v>
      </c>
      <c r="BD7" s="2">
        <v>1.604745528775654</v>
      </c>
      <c r="BE7" s="2">
        <v>1.4272025470463841</v>
      </c>
      <c r="BF7" s="2">
        <v>1.4146275350336399</v>
      </c>
      <c r="BG7" s="2">
        <v>1.988298139624038</v>
      </c>
      <c r="BH7" s="2">
        <v>2.650863780374368</v>
      </c>
      <c r="BI7" s="2">
        <v>5.8144291491082747</v>
      </c>
      <c r="BJ7" s="2">
        <v>0.82618381361608451</v>
      </c>
    </row>
    <row r="8" spans="1:62" x14ac:dyDescent="0.25">
      <c r="A8" t="s">
        <v>140</v>
      </c>
      <c r="B8" t="s">
        <v>76</v>
      </c>
      <c r="C8" t="s">
        <v>151</v>
      </c>
      <c r="D8" t="s">
        <v>69</v>
      </c>
      <c r="F8" t="s">
        <v>152</v>
      </c>
      <c r="G8" t="s">
        <v>153</v>
      </c>
      <c r="H8">
        <v>276</v>
      </c>
      <c r="I8" s="2">
        <v>4.2230320860727547E-2</v>
      </c>
      <c r="J8" s="2">
        <v>0.1178284225441457</v>
      </c>
      <c r="K8" s="2">
        <v>0.28683673691293288</v>
      </c>
      <c r="L8" s="2">
        <v>0.20573401486129339</v>
      </c>
      <c r="M8" s="2">
        <v>0.18443796375912341</v>
      </c>
      <c r="N8" s="2">
        <v>0.33924875451834502</v>
      </c>
      <c r="O8" s="2">
        <v>0.53804727146928566</v>
      </c>
      <c r="P8" s="2">
        <v>3.2508584450880051</v>
      </c>
      <c r="Q8" s="2">
        <v>0.3232650333680393</v>
      </c>
      <c r="R8" s="2">
        <v>0.1239528136025964</v>
      </c>
      <c r="S8" s="2">
        <v>0.40137260276648667</v>
      </c>
      <c r="T8" s="2">
        <v>1.210588449501363</v>
      </c>
      <c r="U8" s="2">
        <v>0.87310852320645338</v>
      </c>
      <c r="V8" s="2">
        <v>0.99143269605368678</v>
      </c>
      <c r="W8" s="2">
        <v>1.705998882930071</v>
      </c>
      <c r="X8" s="2">
        <v>2.3313063561392591</v>
      </c>
      <c r="Y8" s="2">
        <v>5.6359171880005476</v>
      </c>
      <c r="Z8" s="2">
        <v>0.97788704526694559</v>
      </c>
      <c r="AA8" s="2">
        <v>1.9838598740838528E-2</v>
      </c>
      <c r="AB8" s="2">
        <v>4.1429302909184743E-2</v>
      </c>
      <c r="AC8" s="2">
        <v>0.1022847389312342</v>
      </c>
      <c r="AD8" s="2">
        <v>7.7301887557927468E-2</v>
      </c>
      <c r="AE8" s="2">
        <v>6.852061772679538E-2</v>
      </c>
      <c r="AF8" s="2">
        <v>0.12891260829085061</v>
      </c>
      <c r="AG8" s="2">
        <v>0.223019867457772</v>
      </c>
      <c r="AH8" s="2">
        <v>0.59707342094586657</v>
      </c>
      <c r="AI8" s="2">
        <v>8.6491805017339732E-2</v>
      </c>
      <c r="AJ8" s="2">
        <v>1.57359461107364E-2</v>
      </c>
      <c r="AK8" s="2">
        <v>5.4120991075326919E-2</v>
      </c>
      <c r="AL8" s="2">
        <v>0.10353496529132231</v>
      </c>
      <c r="AM8" s="2">
        <v>8.4804980666414967E-2</v>
      </c>
      <c r="AN8" s="2">
        <v>8.1592831007490318E-2</v>
      </c>
      <c r="AO8" s="2">
        <v>0.12762425031489069</v>
      </c>
      <c r="AP8" s="2">
        <v>0.20334730632502601</v>
      </c>
      <c r="AQ8" s="2">
        <v>0.72013734106766081</v>
      </c>
      <c r="AR8" s="2">
        <v>7.4192378328147443E-2</v>
      </c>
      <c r="AS8" s="2">
        <v>8.9916794871703468E-2</v>
      </c>
      <c r="AT8" s="2">
        <v>0.30871146975824959</v>
      </c>
      <c r="AU8" s="2">
        <v>0.72657725476236901</v>
      </c>
      <c r="AV8" s="2">
        <v>0.54638184017314817</v>
      </c>
      <c r="AW8" s="2">
        <v>0.57359245188418084</v>
      </c>
      <c r="AX8" s="2">
        <v>0.88758601415305571</v>
      </c>
      <c r="AY8" s="2">
        <v>1.404928748339022</v>
      </c>
      <c r="AZ8" s="2">
        <v>4.1215217650765839</v>
      </c>
      <c r="BA8" s="2">
        <v>0.61312608704722493</v>
      </c>
      <c r="BB8" s="2">
        <v>0.1836921609650233</v>
      </c>
      <c r="BC8" s="2">
        <v>0.54993065144009456</v>
      </c>
      <c r="BD8" s="2">
        <v>1.4891842569567999</v>
      </c>
      <c r="BE8" s="2">
        <v>1.116972853913305</v>
      </c>
      <c r="BF8" s="2">
        <v>1.252561486793637</v>
      </c>
      <c r="BG8" s="2">
        <v>2.015064373953749</v>
      </c>
      <c r="BH8" s="2">
        <v>2.8889662967926122</v>
      </c>
      <c r="BI8" s="2">
        <v>6.5558421983754309</v>
      </c>
      <c r="BJ8" s="2">
        <v>1.152588060777118</v>
      </c>
    </row>
    <row r="9" spans="1:62" x14ac:dyDescent="0.25">
      <c r="A9" t="s">
        <v>124</v>
      </c>
      <c r="B9" t="s">
        <v>91</v>
      </c>
      <c r="C9" t="s">
        <v>131</v>
      </c>
      <c r="D9" t="s">
        <v>69</v>
      </c>
      <c r="F9" t="s">
        <v>132</v>
      </c>
      <c r="G9" t="s">
        <v>133</v>
      </c>
      <c r="H9">
        <v>239</v>
      </c>
      <c r="I9" s="2">
        <v>4.1124202119919601E-2</v>
      </c>
      <c r="J9" s="2">
        <v>7.7565347303362175E-2</v>
      </c>
      <c r="K9" s="2">
        <v>0.14499380641833301</v>
      </c>
      <c r="L9" s="2">
        <v>0.1155691268653288</v>
      </c>
      <c r="M9" s="2">
        <v>0.10965723870315169</v>
      </c>
      <c r="N9" s="2">
        <v>0.1513740360409328</v>
      </c>
      <c r="O9" s="2">
        <v>0.26864963614702431</v>
      </c>
      <c r="P9" s="2">
        <v>1.155072144932948</v>
      </c>
      <c r="Q9" s="2">
        <v>0.13060818896652021</v>
      </c>
      <c r="R9" s="2">
        <v>8.5876306394721019E-2</v>
      </c>
      <c r="S9" s="2">
        <v>0.29746344579059247</v>
      </c>
      <c r="T9" s="2">
        <v>0.79635089543947846</v>
      </c>
      <c r="U9" s="2">
        <v>0.56558211020970028</v>
      </c>
      <c r="V9" s="2">
        <v>0.57275928626256256</v>
      </c>
      <c r="W9" s="2">
        <v>1.054823875192044</v>
      </c>
      <c r="X9" s="2">
        <v>1.661229774437635</v>
      </c>
      <c r="Y9" s="2">
        <v>5.3304639207108417</v>
      </c>
      <c r="Z9" s="2">
        <v>0.71343879010094002</v>
      </c>
      <c r="AA9" s="2">
        <v>5.8137767414994544E-3</v>
      </c>
      <c r="AB9" s="2">
        <v>1.7096196315865141E-2</v>
      </c>
      <c r="AC9" s="2">
        <v>4.2741325069990697E-2</v>
      </c>
      <c r="AD9" s="2">
        <v>3.0877198583593932E-2</v>
      </c>
      <c r="AE9" s="2">
        <v>2.6188928958626768E-2</v>
      </c>
      <c r="AF9" s="2">
        <v>5.1784552999427053E-2</v>
      </c>
      <c r="AG9" s="2">
        <v>9.4525378001185531E-2</v>
      </c>
      <c r="AH9" s="2">
        <v>0.25028228063528579</v>
      </c>
      <c r="AI9" s="2">
        <v>4.1272352862473209E-2</v>
      </c>
      <c r="AJ9" s="2">
        <v>2.0305417996190071E-2</v>
      </c>
      <c r="AK9" s="2">
        <v>5.204561311544087E-2</v>
      </c>
      <c r="AL9" s="2">
        <v>9.770010815037071E-2</v>
      </c>
      <c r="AM9" s="2">
        <v>8.147197691591436E-2</v>
      </c>
      <c r="AN9" s="2">
        <v>8.0439666831731732E-2</v>
      </c>
      <c r="AO9" s="2">
        <v>0.11677095122825711</v>
      </c>
      <c r="AP9" s="2">
        <v>0.16327458521152979</v>
      </c>
      <c r="AQ9" s="2">
        <v>0.5134688987660303</v>
      </c>
      <c r="AR9" s="2">
        <v>7.1835382521253405E-2</v>
      </c>
      <c r="AS9" s="2">
        <v>8.8580867008626635E-2</v>
      </c>
      <c r="AT9" s="2">
        <v>0.23558425594630819</v>
      </c>
      <c r="AU9" s="2">
        <v>0.53463158730335825</v>
      </c>
      <c r="AV9" s="2">
        <v>0.4048818317289003</v>
      </c>
      <c r="AW9" s="2">
        <v>0.40516042501705418</v>
      </c>
      <c r="AX9" s="2">
        <v>0.6914091161813456</v>
      </c>
      <c r="AY9" s="2">
        <v>1.0509514577519601</v>
      </c>
      <c r="AZ9" s="2">
        <v>5.3272042404998894</v>
      </c>
      <c r="BA9" s="2">
        <v>0.49360705764068152</v>
      </c>
      <c r="BB9" s="2">
        <v>0.15201545974011979</v>
      </c>
      <c r="BC9" s="2">
        <v>0.41035018141768448</v>
      </c>
      <c r="BD9" s="2">
        <v>1.0143085758472741</v>
      </c>
      <c r="BE9" s="2">
        <v>0.75965279600650115</v>
      </c>
      <c r="BF9" s="2">
        <v>0.75946404786533517</v>
      </c>
      <c r="BG9" s="2">
        <v>1.3649565321329771</v>
      </c>
      <c r="BH9" s="2">
        <v>2.0514745759382751</v>
      </c>
      <c r="BI9" s="2">
        <v>5.4966052778055667</v>
      </c>
      <c r="BJ9" s="2">
        <v>0.83655430097473371</v>
      </c>
    </row>
    <row r="10" spans="1:62" x14ac:dyDescent="0.25">
      <c r="A10" t="s">
        <v>90</v>
      </c>
      <c r="B10" t="s">
        <v>91</v>
      </c>
      <c r="C10" t="s">
        <v>95</v>
      </c>
      <c r="D10" t="s">
        <v>78</v>
      </c>
      <c r="F10" t="s">
        <v>96</v>
      </c>
      <c r="G10" t="s">
        <v>97</v>
      </c>
      <c r="H10">
        <v>318</v>
      </c>
      <c r="I10" s="2">
        <v>4.2875983953724023E-2</v>
      </c>
      <c r="J10" s="2">
        <v>7.4656744242213677E-2</v>
      </c>
      <c r="K10" s="2">
        <v>0.1115855869924484</v>
      </c>
      <c r="L10" s="2">
        <v>0.1013551928935727</v>
      </c>
      <c r="M10" s="2">
        <v>9.7382466462712952E-2</v>
      </c>
      <c r="N10" s="2">
        <v>0.1351867124793322</v>
      </c>
      <c r="O10" s="2">
        <v>0.16752073930818451</v>
      </c>
      <c r="P10" s="2">
        <v>0.36646885270101742</v>
      </c>
      <c r="Q10" s="2">
        <v>5.4170045228698893E-2</v>
      </c>
      <c r="R10" s="2">
        <v>5.5029900963021912E-2</v>
      </c>
      <c r="S10" s="2">
        <v>0.137582837326094</v>
      </c>
      <c r="T10" s="2">
        <v>0.36499084429149592</v>
      </c>
      <c r="U10" s="2">
        <v>0.26469612845001189</v>
      </c>
      <c r="V10" s="2">
        <v>0.25624619823313871</v>
      </c>
      <c r="W10" s="2">
        <v>0.49118986782832558</v>
      </c>
      <c r="X10" s="2">
        <v>0.72106351493673726</v>
      </c>
      <c r="Y10" s="2">
        <v>2.350759524068764</v>
      </c>
      <c r="Z10" s="2">
        <v>0.32986501220358783</v>
      </c>
      <c r="AA10" s="2">
        <v>8.551608035919327E-3</v>
      </c>
      <c r="AB10" s="2">
        <v>1.894900798207895E-2</v>
      </c>
      <c r="AC10" s="2">
        <v>5.8557211388542148E-2</v>
      </c>
      <c r="AD10" s="2">
        <v>3.884111219304285E-2</v>
      </c>
      <c r="AE10" s="2">
        <v>2.9739796147977959E-2</v>
      </c>
      <c r="AF10" s="2">
        <v>8.1551540968212932E-2</v>
      </c>
      <c r="AG10" s="2">
        <v>0.14023878088112299</v>
      </c>
      <c r="AH10" s="2">
        <v>0.40157127636323792</v>
      </c>
      <c r="AI10" s="2">
        <v>6.0756206787040558E-2</v>
      </c>
      <c r="AJ10" s="2">
        <v>7.8612976028134187E-3</v>
      </c>
      <c r="AK10" s="2">
        <v>3.0073199338649749E-2</v>
      </c>
      <c r="AL10" s="2">
        <v>4.7572677089548897E-2</v>
      </c>
      <c r="AM10" s="2">
        <v>4.2098795680754621E-2</v>
      </c>
      <c r="AN10" s="2">
        <v>4.1615256492507559E-2</v>
      </c>
      <c r="AO10" s="2">
        <v>5.730123516250505E-2</v>
      </c>
      <c r="AP10" s="2">
        <v>7.9537238344518077E-2</v>
      </c>
      <c r="AQ10" s="2">
        <v>0.17034564860893869</v>
      </c>
      <c r="AR10" s="2">
        <v>2.5152695540219511E-2</v>
      </c>
      <c r="AS10" s="2">
        <v>4.3495402055849543E-2</v>
      </c>
      <c r="AT10" s="2">
        <v>9.5307031421134475E-2</v>
      </c>
      <c r="AU10" s="2">
        <v>0.2113072922019148</v>
      </c>
      <c r="AV10" s="2">
        <v>0.16415703359262271</v>
      </c>
      <c r="AW10" s="2">
        <v>0.15887092219596219</v>
      </c>
      <c r="AX10" s="2">
        <v>0.25950530467919669</v>
      </c>
      <c r="AY10" s="2">
        <v>0.42389674285942952</v>
      </c>
      <c r="AZ10" s="2">
        <v>1.030911145540681</v>
      </c>
      <c r="BA10" s="2">
        <v>0.16735857118264219</v>
      </c>
      <c r="BB10" s="2">
        <v>0.1077212606684493</v>
      </c>
      <c r="BC10" s="2">
        <v>0.20555155663992711</v>
      </c>
      <c r="BD10" s="2">
        <v>0.45922394622557972</v>
      </c>
      <c r="BE10" s="2">
        <v>0.36230486023086339</v>
      </c>
      <c r="BF10" s="2">
        <v>0.32467800451940459</v>
      </c>
      <c r="BG10" s="2">
        <v>0.59981026456308162</v>
      </c>
      <c r="BH10" s="2">
        <v>0.88222620716535571</v>
      </c>
      <c r="BI10" s="2">
        <v>2.444040901867234</v>
      </c>
      <c r="BJ10" s="2">
        <v>0.35938443197875669</v>
      </c>
    </row>
    <row r="11" spans="1:62" x14ac:dyDescent="0.25">
      <c r="A11" t="s">
        <v>107</v>
      </c>
      <c r="B11" t="s">
        <v>111</v>
      </c>
      <c r="C11" t="s">
        <v>118</v>
      </c>
      <c r="D11" t="s">
        <v>78</v>
      </c>
      <c r="F11" t="s">
        <v>119</v>
      </c>
      <c r="G11" t="s">
        <v>120</v>
      </c>
      <c r="H11">
        <v>243</v>
      </c>
      <c r="I11" s="2">
        <v>4.2727391682619707E-2</v>
      </c>
      <c r="J11" s="2">
        <v>9.0346333011757263E-2</v>
      </c>
      <c r="K11" s="2">
        <v>0.21547181725247719</v>
      </c>
      <c r="L11" s="2">
        <v>0.15533856855869499</v>
      </c>
      <c r="M11" s="2">
        <v>0.1360620079228585</v>
      </c>
      <c r="N11" s="2">
        <v>0.23909562469664339</v>
      </c>
      <c r="O11" s="2">
        <v>0.38943430388157152</v>
      </c>
      <c r="P11" s="2">
        <v>1.7644365672928</v>
      </c>
      <c r="Q11" s="2">
        <v>0.24099576674627601</v>
      </c>
      <c r="R11" s="2">
        <v>0.32968222578719653</v>
      </c>
      <c r="S11" s="2">
        <v>0.82895958662994751</v>
      </c>
      <c r="T11" s="2">
        <v>1.4331900313022841</v>
      </c>
      <c r="U11" s="2">
        <v>1.2173278949318469</v>
      </c>
      <c r="V11" s="2">
        <v>1.2013602373975929</v>
      </c>
      <c r="W11" s="2">
        <v>1.7827568001403959</v>
      </c>
      <c r="X11" s="2">
        <v>2.693416224379495</v>
      </c>
      <c r="Y11" s="2">
        <v>5.6334001340220814</v>
      </c>
      <c r="Z11" s="2">
        <v>0.89171556323860346</v>
      </c>
      <c r="AA11" s="2">
        <v>1.4209503861852459E-2</v>
      </c>
      <c r="AB11" s="2">
        <v>3.1019448482516539E-2</v>
      </c>
      <c r="AC11" s="2">
        <v>5.8383647695091093E-2</v>
      </c>
      <c r="AD11" s="2">
        <v>4.838581512896676E-2</v>
      </c>
      <c r="AE11" s="2">
        <v>4.4511009873962643E-2</v>
      </c>
      <c r="AF11" s="2">
        <v>6.9343809647985755E-2</v>
      </c>
      <c r="AG11" s="2">
        <v>0.1067399918789866</v>
      </c>
      <c r="AH11" s="2">
        <v>0.41874052825108771</v>
      </c>
      <c r="AI11" s="2">
        <v>4.5075779751104633E-2</v>
      </c>
      <c r="AJ11" s="2">
        <v>2.359385513221611E-2</v>
      </c>
      <c r="AK11" s="2">
        <v>7.1671229329744346E-2</v>
      </c>
      <c r="AL11" s="2">
        <v>0.15523084873308499</v>
      </c>
      <c r="AM11" s="2">
        <v>0.1200441434508521</v>
      </c>
      <c r="AN11" s="2">
        <v>0.1195392404192029</v>
      </c>
      <c r="AO11" s="2">
        <v>0.19444575218373639</v>
      </c>
      <c r="AP11" s="2">
        <v>0.30595476537998201</v>
      </c>
      <c r="AQ11" s="2">
        <v>1.0388228241620421</v>
      </c>
      <c r="AR11" s="2">
        <v>0.1305722219517397</v>
      </c>
      <c r="AS11" s="2">
        <v>0.20230286700884889</v>
      </c>
      <c r="AT11" s="2">
        <v>0.38610532055898461</v>
      </c>
      <c r="AU11" s="2">
        <v>0.76677750307583725</v>
      </c>
      <c r="AV11" s="2">
        <v>0.62170140608247237</v>
      </c>
      <c r="AW11" s="2">
        <v>0.59551162037360783</v>
      </c>
      <c r="AX11" s="2">
        <v>0.89326920723779102</v>
      </c>
      <c r="AY11" s="2">
        <v>1.420695868229674</v>
      </c>
      <c r="AZ11" s="2">
        <v>4.5975522465764316</v>
      </c>
      <c r="BA11" s="2">
        <v>0.59416523854677805</v>
      </c>
      <c r="BB11" s="2">
        <v>0.49845696905550407</v>
      </c>
      <c r="BC11" s="2">
        <v>0.99325798151278644</v>
      </c>
      <c r="BD11" s="2">
        <v>1.7227769806201441</v>
      </c>
      <c r="BE11" s="2">
        <v>1.4908003657362789</v>
      </c>
      <c r="BF11" s="2">
        <v>1.457835258182488</v>
      </c>
      <c r="BG11" s="2">
        <v>2.139823691307194</v>
      </c>
      <c r="BH11" s="2">
        <v>3.2576654848956692</v>
      </c>
      <c r="BI11" s="2">
        <v>5.667594979354118</v>
      </c>
      <c r="BJ11" s="2">
        <v>0.98603326848225248</v>
      </c>
    </row>
    <row r="12" spans="1:62" x14ac:dyDescent="0.25">
      <c r="A12" t="s">
        <v>124</v>
      </c>
      <c r="B12" t="s">
        <v>63</v>
      </c>
      <c r="C12" t="s">
        <v>134</v>
      </c>
      <c r="D12" t="s">
        <v>69</v>
      </c>
      <c r="F12" t="s">
        <v>135</v>
      </c>
      <c r="G12" t="s">
        <v>136</v>
      </c>
      <c r="H12">
        <v>278</v>
      </c>
      <c r="I12" s="2">
        <v>0.100270185000328</v>
      </c>
      <c r="J12" s="2">
        <v>0.19508361599518331</v>
      </c>
      <c r="K12" s="2">
        <v>0.33206561596327439</v>
      </c>
      <c r="L12" s="2">
        <v>0.28154752230254981</v>
      </c>
      <c r="M12" s="2">
        <v>0.26164234116559898</v>
      </c>
      <c r="N12" s="2">
        <v>0.37389390805017392</v>
      </c>
      <c r="O12" s="2">
        <v>0.54664229654163943</v>
      </c>
      <c r="P12" s="2">
        <v>1.991561153969418</v>
      </c>
      <c r="Q12" s="2">
        <v>0.25363425073340018</v>
      </c>
      <c r="R12" s="2">
        <v>0.19885167839372139</v>
      </c>
      <c r="S12" s="2">
        <v>1.0485942824136401</v>
      </c>
      <c r="T12" s="2">
        <v>1.732853710298768</v>
      </c>
      <c r="U12" s="2">
        <v>1.4462115929136179</v>
      </c>
      <c r="V12" s="2">
        <v>1.5117367996860369</v>
      </c>
      <c r="W12" s="2">
        <v>2.1580433398396912</v>
      </c>
      <c r="X12" s="2">
        <v>3.0361769448544962</v>
      </c>
      <c r="Y12" s="2">
        <v>5.6642492485765494</v>
      </c>
      <c r="Z12" s="2">
        <v>1.044355231864935</v>
      </c>
      <c r="AA12" s="2">
        <v>3.1416874446704587E-2</v>
      </c>
      <c r="AB12" s="2">
        <v>9.6710032594878925E-2</v>
      </c>
      <c r="AC12" s="2">
        <v>0.17002573429582959</v>
      </c>
      <c r="AD12" s="2">
        <v>0.14493974512870639</v>
      </c>
      <c r="AE12" s="2">
        <v>0.15120954317584079</v>
      </c>
      <c r="AF12" s="2">
        <v>0.2126504610976909</v>
      </c>
      <c r="AG12" s="2">
        <v>0.30274785710357549</v>
      </c>
      <c r="AH12" s="2">
        <v>0.92755113066612127</v>
      </c>
      <c r="AI12" s="2">
        <v>0.10207286595764389</v>
      </c>
      <c r="AJ12" s="2">
        <v>2.4397130978867171E-2</v>
      </c>
      <c r="AK12" s="2">
        <v>7.3946290051586691E-2</v>
      </c>
      <c r="AL12" s="2">
        <v>0.1180729608227117</v>
      </c>
      <c r="AM12" s="2">
        <v>0.10048627000889029</v>
      </c>
      <c r="AN12" s="2">
        <v>0.1032099331666877</v>
      </c>
      <c r="AO12" s="2">
        <v>0.13997215193885171</v>
      </c>
      <c r="AP12" s="2">
        <v>0.19096439935825321</v>
      </c>
      <c r="AQ12" s="2">
        <v>1.3170999468529341</v>
      </c>
      <c r="AR12" s="2">
        <v>9.5873199510461082E-2</v>
      </c>
      <c r="AS12" s="2">
        <v>0.17103689660421231</v>
      </c>
      <c r="AT12" s="2">
        <v>0.568330513291188</v>
      </c>
      <c r="AU12" s="2">
        <v>0.87132056686933923</v>
      </c>
      <c r="AV12" s="2">
        <v>0.77162592336269387</v>
      </c>
      <c r="AW12" s="2">
        <v>0.8251173031574861</v>
      </c>
      <c r="AX12" s="2">
        <v>1.0480873211541739</v>
      </c>
      <c r="AY12" s="2">
        <v>1.3607724029642809</v>
      </c>
      <c r="AZ12" s="2">
        <v>4.5427564143370054</v>
      </c>
      <c r="BA12" s="2">
        <v>0.46418083317471931</v>
      </c>
      <c r="BB12" s="2">
        <v>0.3107898807876473</v>
      </c>
      <c r="BC12" s="2">
        <v>1.3248738948582151</v>
      </c>
      <c r="BD12" s="2">
        <v>2.0426960286209881</v>
      </c>
      <c r="BE12" s="2">
        <v>1.775749234501071</v>
      </c>
      <c r="BF12" s="2">
        <v>1.831794144298533</v>
      </c>
      <c r="BG12" s="2">
        <v>2.5623662416094519</v>
      </c>
      <c r="BH12" s="2">
        <v>3.3492391845939262</v>
      </c>
      <c r="BI12" s="2">
        <v>5.7621988780325868</v>
      </c>
      <c r="BJ12" s="2">
        <v>1.063788010752549</v>
      </c>
    </row>
    <row r="13" spans="1:62" x14ac:dyDescent="0.25">
      <c r="A13" t="s">
        <v>124</v>
      </c>
      <c r="B13" t="s">
        <v>76</v>
      </c>
      <c r="C13" t="s">
        <v>125</v>
      </c>
      <c r="D13" t="s">
        <v>69</v>
      </c>
      <c r="F13" t="s">
        <v>126</v>
      </c>
      <c r="G13" t="s">
        <v>127</v>
      </c>
      <c r="H13">
        <v>257</v>
      </c>
      <c r="I13" s="2">
        <v>6.6049829674269409E-2</v>
      </c>
      <c r="J13" s="2">
        <v>0.14221838840318779</v>
      </c>
      <c r="K13" s="2">
        <v>0.33897543713448641</v>
      </c>
      <c r="L13" s="2">
        <v>0.25506502088670052</v>
      </c>
      <c r="M13" s="2">
        <v>0.22485117300116539</v>
      </c>
      <c r="N13" s="2">
        <v>0.39320490841290368</v>
      </c>
      <c r="O13" s="2">
        <v>0.78660842420824262</v>
      </c>
      <c r="P13" s="2">
        <v>2.3858892157851761</v>
      </c>
      <c r="Q13" s="2">
        <v>0.29894635326901248</v>
      </c>
      <c r="R13" s="2">
        <v>0.28148932484199107</v>
      </c>
      <c r="S13" s="2">
        <v>0.66624785928361518</v>
      </c>
      <c r="T13" s="2">
        <v>1.1175335895884539</v>
      </c>
      <c r="U13" s="2">
        <v>0.97436536121471851</v>
      </c>
      <c r="V13" s="2">
        <v>0.97895473848385872</v>
      </c>
      <c r="W13" s="2">
        <v>1.465907848399755</v>
      </c>
      <c r="X13" s="2">
        <v>2.0373598922677409</v>
      </c>
      <c r="Y13" s="2">
        <v>4.486199900806918</v>
      </c>
      <c r="Z13" s="2">
        <v>0.60281662569342709</v>
      </c>
      <c r="AA13" s="2">
        <v>2.9561461398246201E-2</v>
      </c>
      <c r="AB13" s="2">
        <v>5.3449789522504197E-2</v>
      </c>
      <c r="AC13" s="2">
        <v>8.5540125094389463E-2</v>
      </c>
      <c r="AD13" s="2">
        <v>7.5673635072055115E-2</v>
      </c>
      <c r="AE13" s="2">
        <v>7.5529199651525505E-2</v>
      </c>
      <c r="AF13" s="2">
        <v>0.10348101275113231</v>
      </c>
      <c r="AG13" s="2">
        <v>0.1370749516971595</v>
      </c>
      <c r="AH13" s="2">
        <v>0.28913576395873269</v>
      </c>
      <c r="AI13" s="2">
        <v>4.6835987461437231E-2</v>
      </c>
      <c r="AJ13" s="2">
        <v>2.491023885875044E-2</v>
      </c>
      <c r="AK13" s="2">
        <v>7.2836186061599917E-2</v>
      </c>
      <c r="AL13" s="2">
        <v>0.11296069835761249</v>
      </c>
      <c r="AM13" s="2">
        <v>9.8738131994202699E-2</v>
      </c>
      <c r="AN13" s="2">
        <v>9.5734737687006771E-2</v>
      </c>
      <c r="AO13" s="2">
        <v>0.13359891466625021</v>
      </c>
      <c r="AP13" s="2">
        <v>0.18395835145426201</v>
      </c>
      <c r="AQ13" s="2">
        <v>0.78043853697776899</v>
      </c>
      <c r="AR13" s="2">
        <v>7.3286718906432707E-2</v>
      </c>
      <c r="AS13" s="2">
        <v>0.15540234875959891</v>
      </c>
      <c r="AT13" s="2">
        <v>0.41788627639586351</v>
      </c>
      <c r="AU13" s="2">
        <v>0.64993649210340099</v>
      </c>
      <c r="AV13" s="2">
        <v>0.57681719442695256</v>
      </c>
      <c r="AW13" s="2">
        <v>0.57976328790291642</v>
      </c>
      <c r="AX13" s="2">
        <v>0.81043767187859672</v>
      </c>
      <c r="AY13" s="2">
        <v>1.1079122217894819</v>
      </c>
      <c r="AZ13" s="2">
        <v>2.9281341721307781</v>
      </c>
      <c r="BA13" s="2">
        <v>0.3398152189845916</v>
      </c>
      <c r="BB13" s="2">
        <v>0.35362622923080811</v>
      </c>
      <c r="BC13" s="2">
        <v>0.85197117908999709</v>
      </c>
      <c r="BD13" s="2">
        <v>1.387728224879839</v>
      </c>
      <c r="BE13" s="2">
        <v>1.2351468309981499</v>
      </c>
      <c r="BF13" s="2">
        <v>1.238349502361914</v>
      </c>
      <c r="BG13" s="2">
        <v>1.7817805757163241</v>
      </c>
      <c r="BH13" s="2">
        <v>2.3422354291637228</v>
      </c>
      <c r="BI13" s="2">
        <v>4.6717232495086867</v>
      </c>
      <c r="BJ13" s="2">
        <v>0.67514415499194624</v>
      </c>
    </row>
    <row r="14" spans="1:62" x14ac:dyDescent="0.25">
      <c r="A14" t="s">
        <v>90</v>
      </c>
      <c r="B14" t="s">
        <v>91</v>
      </c>
      <c r="C14" t="s">
        <v>92</v>
      </c>
      <c r="D14" t="s">
        <v>69</v>
      </c>
      <c r="F14" t="s">
        <v>93</v>
      </c>
      <c r="G14" t="s">
        <v>94</v>
      </c>
      <c r="H14">
        <v>211</v>
      </c>
      <c r="I14" s="2">
        <v>0.10991933405911811</v>
      </c>
      <c r="J14" s="2">
        <v>0.26709142100945149</v>
      </c>
      <c r="K14" s="2">
        <v>0.4761616543000059</v>
      </c>
      <c r="L14" s="2">
        <v>0.39772530910760512</v>
      </c>
      <c r="M14" s="2">
        <v>0.39537429102054678</v>
      </c>
      <c r="N14" s="2">
        <v>0.57746310713426396</v>
      </c>
      <c r="O14" s="2">
        <v>0.758523012175636</v>
      </c>
      <c r="P14" s="2">
        <v>2.551152545419423</v>
      </c>
      <c r="Q14" s="2">
        <v>0.33565698735446209</v>
      </c>
      <c r="R14" s="2">
        <v>0.54066718968326533</v>
      </c>
      <c r="S14" s="2">
        <v>1.105923887811882</v>
      </c>
      <c r="T14" s="2">
        <v>2.0003854101842191</v>
      </c>
      <c r="U14" s="2">
        <v>1.733043656948398</v>
      </c>
      <c r="V14" s="2">
        <v>1.7708044894905819</v>
      </c>
      <c r="W14" s="2">
        <v>2.624583214832545</v>
      </c>
      <c r="X14" s="2">
        <v>3.5441555369368309</v>
      </c>
      <c r="Y14" s="2">
        <v>5.9283867645422728</v>
      </c>
      <c r="Z14" s="2">
        <v>1.09445938264029</v>
      </c>
      <c r="AA14" s="2">
        <v>2.537341128031468E-2</v>
      </c>
      <c r="AB14" s="2">
        <v>6.8767641805588309E-2</v>
      </c>
      <c r="AC14" s="2">
        <v>0.17166415201530469</v>
      </c>
      <c r="AD14" s="2">
        <v>0.13236432492528991</v>
      </c>
      <c r="AE14" s="2">
        <v>0.15372371320001349</v>
      </c>
      <c r="AF14" s="2">
        <v>0.23679828103853051</v>
      </c>
      <c r="AG14" s="2">
        <v>0.33362904549813999</v>
      </c>
      <c r="AH14" s="2">
        <v>0.54615268011793183</v>
      </c>
      <c r="AI14" s="2">
        <v>0.1213815797709419</v>
      </c>
      <c r="AJ14" s="2">
        <v>3.6280848942658442E-2</v>
      </c>
      <c r="AK14" s="2">
        <v>9.128972894346829E-2</v>
      </c>
      <c r="AL14" s="2">
        <v>0.167498796728342</v>
      </c>
      <c r="AM14" s="2">
        <v>0.1422952368017957</v>
      </c>
      <c r="AN14" s="2">
        <v>0.1513539890455485</v>
      </c>
      <c r="AO14" s="2">
        <v>0.22220940016246549</v>
      </c>
      <c r="AP14" s="2">
        <v>0.26964695436811442</v>
      </c>
      <c r="AQ14" s="2">
        <v>0.62534269005082321</v>
      </c>
      <c r="AR14" s="2">
        <v>9.8443578787707903E-2</v>
      </c>
      <c r="AS14" s="2">
        <v>0.23160252589296171</v>
      </c>
      <c r="AT14" s="2">
        <v>0.51887398456261136</v>
      </c>
      <c r="AU14" s="2">
        <v>0.80936297266798862</v>
      </c>
      <c r="AV14" s="2">
        <v>0.72312895016525436</v>
      </c>
      <c r="AW14" s="2">
        <v>0.74834554184547664</v>
      </c>
      <c r="AX14" s="2">
        <v>0.98723884913148363</v>
      </c>
      <c r="AY14" s="2">
        <v>1.295895543629964</v>
      </c>
      <c r="AZ14" s="2">
        <v>2.6720496365150099</v>
      </c>
      <c r="BA14" s="2">
        <v>0.38752343405652329</v>
      </c>
      <c r="BB14" s="2">
        <v>0.6204067456112965</v>
      </c>
      <c r="BC14" s="2">
        <v>1.323989165435024</v>
      </c>
      <c r="BD14" s="2">
        <v>2.251219863592294</v>
      </c>
      <c r="BE14" s="2">
        <v>1.978862200226126</v>
      </c>
      <c r="BF14" s="2">
        <v>2.005503652452421</v>
      </c>
      <c r="BG14" s="2">
        <v>2.936140539495026</v>
      </c>
      <c r="BH14" s="2">
        <v>3.8283884925644629</v>
      </c>
      <c r="BI14" s="2">
        <v>6.211870620030651</v>
      </c>
      <c r="BJ14" s="2">
        <v>1.165064081350079</v>
      </c>
    </row>
    <row r="15" spans="1:62" x14ac:dyDescent="0.25">
      <c r="A15" t="s">
        <v>107</v>
      </c>
      <c r="B15" t="s">
        <v>111</v>
      </c>
      <c r="C15" t="s">
        <v>112</v>
      </c>
      <c r="D15" t="s">
        <v>69</v>
      </c>
      <c r="F15" t="s">
        <v>113</v>
      </c>
      <c r="G15" t="s">
        <v>114</v>
      </c>
      <c r="H15">
        <v>336</v>
      </c>
      <c r="I15" s="2">
        <v>2.445833191368537E-2</v>
      </c>
      <c r="J15" s="2">
        <v>6.3639433655078348E-2</v>
      </c>
      <c r="K15" s="2">
        <v>0.1241313093550403</v>
      </c>
      <c r="L15" s="2">
        <v>9.6658207556679074E-2</v>
      </c>
      <c r="M15" s="2">
        <v>8.7440214708275621E-2</v>
      </c>
      <c r="N15" s="2">
        <v>0.1344425803012394</v>
      </c>
      <c r="O15" s="2">
        <v>0.2359670998119823</v>
      </c>
      <c r="P15" s="2">
        <v>1.150009413004955</v>
      </c>
      <c r="Q15" s="2">
        <v>0.119380650082145</v>
      </c>
      <c r="R15" s="2">
        <v>0.14096974852783131</v>
      </c>
      <c r="S15" s="2">
        <v>0.42989043155195011</v>
      </c>
      <c r="T15" s="2">
        <v>1.227833928171584</v>
      </c>
      <c r="U15" s="2">
        <v>0.8199151033881722</v>
      </c>
      <c r="V15" s="2">
        <v>0.72195532045903132</v>
      </c>
      <c r="W15" s="2">
        <v>1.414398251099279</v>
      </c>
      <c r="X15" s="2">
        <v>3.0068738518641092</v>
      </c>
      <c r="Y15" s="2">
        <v>8.2942409339251775</v>
      </c>
      <c r="Z15" s="2">
        <v>1.3048266846003569</v>
      </c>
      <c r="AA15" s="2">
        <v>7.393916418245476E-3</v>
      </c>
      <c r="AB15" s="2">
        <v>2.075872281854526E-2</v>
      </c>
      <c r="AC15" s="2">
        <v>4.9900502665205487E-2</v>
      </c>
      <c r="AD15" s="2">
        <v>3.5506125998192091E-2</v>
      </c>
      <c r="AE15" s="2">
        <v>3.050683476429869E-2</v>
      </c>
      <c r="AF15" s="2">
        <v>5.0792928936246103E-2</v>
      </c>
      <c r="AG15" s="2">
        <v>0.1137969563396431</v>
      </c>
      <c r="AH15" s="2">
        <v>0.44017974737600091</v>
      </c>
      <c r="AI15" s="2">
        <v>5.4293428978823083E-2</v>
      </c>
      <c r="AJ15" s="2">
        <v>1.9828010490213079E-2</v>
      </c>
      <c r="AK15" s="2">
        <v>4.6292220336940512E-2</v>
      </c>
      <c r="AL15" s="2">
        <v>9.693915067013141E-2</v>
      </c>
      <c r="AM15" s="2">
        <v>7.5894095558763641E-2</v>
      </c>
      <c r="AN15" s="2">
        <v>6.9434442538665861E-2</v>
      </c>
      <c r="AO15" s="2">
        <v>0.1153894278968554</v>
      </c>
      <c r="AP15" s="2">
        <v>0.1938069367699862</v>
      </c>
      <c r="AQ15" s="2">
        <v>0.90157994099247818</v>
      </c>
      <c r="AR15" s="2">
        <v>8.6525281071889865E-2</v>
      </c>
      <c r="AS15" s="2">
        <v>4.6745588027106898E-2</v>
      </c>
      <c r="AT15" s="2">
        <v>0.1204317862126478</v>
      </c>
      <c r="AU15" s="2">
        <v>0.47460001805603658</v>
      </c>
      <c r="AV15" s="2">
        <v>0.28700041841130908</v>
      </c>
      <c r="AW15" s="2">
        <v>0.27999072734699298</v>
      </c>
      <c r="AX15" s="2">
        <v>0.61660786703749249</v>
      </c>
      <c r="AY15" s="2">
        <v>1.1482600766682149</v>
      </c>
      <c r="AZ15" s="2">
        <v>4.2680410201871304</v>
      </c>
      <c r="BA15" s="2">
        <v>0.54999136018008132</v>
      </c>
      <c r="BB15" s="2">
        <v>0.1632075978623545</v>
      </c>
      <c r="BC15" s="2">
        <v>0.52011488855221888</v>
      </c>
      <c r="BD15" s="2">
        <v>1.372777961372242</v>
      </c>
      <c r="BE15" s="2">
        <v>0.94281128597454578</v>
      </c>
      <c r="BF15" s="2">
        <v>0.84251825245464695</v>
      </c>
      <c r="BG15" s="2">
        <v>1.5072868373707311</v>
      </c>
      <c r="BH15" s="2">
        <v>3.4734540841727628</v>
      </c>
      <c r="BI15" s="2">
        <v>8.3477927879170526</v>
      </c>
      <c r="BJ15" s="2">
        <v>1.3802086095375681</v>
      </c>
    </row>
    <row r="16" spans="1:62" x14ac:dyDescent="0.25">
      <c r="A16" t="s">
        <v>90</v>
      </c>
      <c r="B16" t="s">
        <v>91</v>
      </c>
      <c r="C16" t="s">
        <v>98</v>
      </c>
      <c r="D16" t="s">
        <v>65</v>
      </c>
      <c r="F16" t="s">
        <v>99</v>
      </c>
      <c r="G16" t="s">
        <v>100</v>
      </c>
      <c r="H16">
        <v>248</v>
      </c>
      <c r="I16" s="2">
        <v>5.5026357320833073E-2</v>
      </c>
      <c r="J16" s="2">
        <v>9.7687671643757093E-2</v>
      </c>
      <c r="K16" s="2">
        <v>0.15567356052243131</v>
      </c>
      <c r="L16" s="2">
        <v>0.13826626985323379</v>
      </c>
      <c r="M16" s="2">
        <v>0.13649796494279659</v>
      </c>
      <c r="N16" s="2">
        <v>0.17474588383596251</v>
      </c>
      <c r="O16" s="2">
        <v>0.26659617422731652</v>
      </c>
      <c r="P16" s="2">
        <v>0.57109188402567934</v>
      </c>
      <c r="Q16" s="2">
        <v>8.6268023486984938E-2</v>
      </c>
      <c r="R16" s="2">
        <v>3.1784587459962418E-2</v>
      </c>
      <c r="S16" s="2">
        <v>4.9046295948642953E-2</v>
      </c>
      <c r="T16" s="2">
        <v>0.19514317005883711</v>
      </c>
      <c r="U16" s="2">
        <v>0.1052248154526198</v>
      </c>
      <c r="V16" s="2">
        <v>7.7056376229171109E-2</v>
      </c>
      <c r="W16" s="2">
        <v>0.1675007196642764</v>
      </c>
      <c r="X16" s="2">
        <v>0.56914422622858563</v>
      </c>
      <c r="Y16" s="2">
        <v>1.6388812006975979</v>
      </c>
      <c r="Z16" s="2">
        <v>0.29007904017445862</v>
      </c>
      <c r="AA16" s="2">
        <v>1.009405765784999E-2</v>
      </c>
      <c r="AB16" s="2">
        <v>2.000333331968146E-2</v>
      </c>
      <c r="AC16" s="2">
        <v>3.1751780899043548E-2</v>
      </c>
      <c r="AD16" s="2">
        <v>2.7378536361358501E-2</v>
      </c>
      <c r="AE16" s="2">
        <v>2.7032565287947941E-2</v>
      </c>
      <c r="AF16" s="2">
        <v>3.6279548773305408E-2</v>
      </c>
      <c r="AG16" s="2">
        <v>4.6667429949666883E-2</v>
      </c>
      <c r="AH16" s="2">
        <v>0.32173632061052732</v>
      </c>
      <c r="AI16" s="2">
        <v>2.5758772226576871E-2</v>
      </c>
      <c r="AJ16" s="2">
        <v>6.581793068761734E-3</v>
      </c>
      <c r="AK16" s="2">
        <v>1.28763348822559E-2</v>
      </c>
      <c r="AL16" s="2">
        <v>2.4673798223424179E-2</v>
      </c>
      <c r="AM16" s="2">
        <v>1.8446401412983818E-2</v>
      </c>
      <c r="AN16" s="2">
        <v>1.6905468243103659E-2</v>
      </c>
      <c r="AO16" s="2">
        <v>2.35584379787795E-2</v>
      </c>
      <c r="AP16" s="2">
        <v>5.1943008708400372E-2</v>
      </c>
      <c r="AQ16" s="2">
        <v>0.21650993048818801</v>
      </c>
      <c r="AR16" s="2">
        <v>2.5747089214435571E-2</v>
      </c>
      <c r="AS16" s="2">
        <v>9.5545800535659347E-3</v>
      </c>
      <c r="AT16" s="2">
        <v>3.8407995696085141E-2</v>
      </c>
      <c r="AU16" s="2">
        <v>0.1302596532339915</v>
      </c>
      <c r="AV16" s="2">
        <v>7.0165070427323978E-2</v>
      </c>
      <c r="AW16" s="2">
        <v>5.2690265679289638E-2</v>
      </c>
      <c r="AX16" s="2">
        <v>9.9511907590485699E-2</v>
      </c>
      <c r="AY16" s="2">
        <v>0.30240588819505781</v>
      </c>
      <c r="AZ16" s="2">
        <v>1.7177500342017169</v>
      </c>
      <c r="BA16" s="2">
        <v>0.22433602245086351</v>
      </c>
      <c r="BB16" s="2">
        <v>8.2821072197841086E-2</v>
      </c>
      <c r="BC16" s="2">
        <v>0.13198305367948829</v>
      </c>
      <c r="BD16" s="2">
        <v>0.31221691763301329</v>
      </c>
      <c r="BE16" s="2">
        <v>0.22074400521016149</v>
      </c>
      <c r="BF16" s="2">
        <v>0.17772449362672921</v>
      </c>
      <c r="BG16" s="2">
        <v>0.285161628789595</v>
      </c>
      <c r="BH16" s="2">
        <v>0.66162949863821174</v>
      </c>
      <c r="BI16" s="2">
        <v>2.052108269560843</v>
      </c>
      <c r="BJ16" s="2">
        <v>0.35580083567779669</v>
      </c>
    </row>
    <row r="17" spans="1:62" x14ac:dyDescent="0.25">
      <c r="A17" t="s">
        <v>75</v>
      </c>
      <c r="B17" t="s">
        <v>76</v>
      </c>
      <c r="C17" t="s">
        <v>77</v>
      </c>
      <c r="D17" t="s">
        <v>78</v>
      </c>
      <c r="F17" t="s">
        <v>79</v>
      </c>
      <c r="G17" t="s">
        <v>80</v>
      </c>
      <c r="H17">
        <v>298</v>
      </c>
      <c r="I17" s="2">
        <v>0.20931588568477069</v>
      </c>
      <c r="J17" s="2">
        <v>0.33878744805112038</v>
      </c>
      <c r="K17" s="2">
        <v>0.6134746446809517</v>
      </c>
      <c r="L17" s="2">
        <v>0.52205340943187473</v>
      </c>
      <c r="M17" s="2">
        <v>0.47912574877587072</v>
      </c>
      <c r="N17" s="2">
        <v>0.76397175223310487</v>
      </c>
      <c r="O17" s="2">
        <v>1.280208766335919</v>
      </c>
      <c r="P17" s="2">
        <v>2.199849099370228</v>
      </c>
      <c r="Q17" s="2">
        <v>0.38702648479227209</v>
      </c>
      <c r="R17" s="2">
        <v>9.4293318957389557E-2</v>
      </c>
      <c r="S17" s="2">
        <v>0.33302648975260157</v>
      </c>
      <c r="T17" s="2">
        <v>0.79315913803405624</v>
      </c>
      <c r="U17" s="2">
        <v>0.58227968355984372</v>
      </c>
      <c r="V17" s="2">
        <v>0.61103166508852358</v>
      </c>
      <c r="W17" s="2">
        <v>1.000849184793793</v>
      </c>
      <c r="X17" s="2">
        <v>1.7370176907863191</v>
      </c>
      <c r="Y17" s="2">
        <v>3.2805881637291812</v>
      </c>
      <c r="Z17" s="2">
        <v>0.65056767071782629</v>
      </c>
      <c r="AA17" s="2">
        <v>2.1626603986756681E-2</v>
      </c>
      <c r="AB17" s="2">
        <v>3.886559613164825E-2</v>
      </c>
      <c r="AC17" s="2">
        <v>7.0224808886861501E-2</v>
      </c>
      <c r="AD17" s="2">
        <v>5.8163184131863603E-2</v>
      </c>
      <c r="AE17" s="2">
        <v>5.4223836029565688E-2</v>
      </c>
      <c r="AF17" s="2">
        <v>7.858988644307266E-2</v>
      </c>
      <c r="AG17" s="2">
        <v>0.1150836744504037</v>
      </c>
      <c r="AH17" s="2">
        <v>0.43823618061497388</v>
      </c>
      <c r="AI17" s="2">
        <v>6.0858993968243409E-2</v>
      </c>
      <c r="AJ17" s="2">
        <v>1.862659389153045E-2</v>
      </c>
      <c r="AK17" s="2">
        <v>5.0795537432582381E-2</v>
      </c>
      <c r="AL17" s="2">
        <v>8.3539384804943662E-2</v>
      </c>
      <c r="AM17" s="2">
        <v>7.05376942900484E-2</v>
      </c>
      <c r="AN17" s="2">
        <v>6.7165058117086424E-2</v>
      </c>
      <c r="AO17" s="2">
        <v>9.8254270078319772E-2</v>
      </c>
      <c r="AP17" s="2">
        <v>0.14331715763451161</v>
      </c>
      <c r="AQ17" s="2">
        <v>0.41858445981665382</v>
      </c>
      <c r="AR17" s="2">
        <v>5.657612206322201E-2</v>
      </c>
      <c r="AS17" s="2">
        <v>6.4124644248525861E-2</v>
      </c>
      <c r="AT17" s="2">
        <v>0.16511988004928771</v>
      </c>
      <c r="AU17" s="2">
        <v>0.43413689493128432</v>
      </c>
      <c r="AV17" s="2">
        <v>0.32533099039556518</v>
      </c>
      <c r="AW17" s="2">
        <v>0.35075030338765839</v>
      </c>
      <c r="AX17" s="2">
        <v>0.54825180015516095</v>
      </c>
      <c r="AY17" s="2">
        <v>0.91209697929468969</v>
      </c>
      <c r="AZ17" s="2">
        <v>2.3560385671715989</v>
      </c>
      <c r="BA17" s="2">
        <v>0.3460539047114195</v>
      </c>
      <c r="BB17" s="2">
        <v>0.42794330231936079</v>
      </c>
      <c r="BC17" s="2">
        <v>0.78514663761570258</v>
      </c>
      <c r="BD17" s="2">
        <v>1.232788276056983</v>
      </c>
      <c r="BE17" s="2">
        <v>1.1083322043796751</v>
      </c>
      <c r="BF17" s="2">
        <v>1.0811279087677781</v>
      </c>
      <c r="BG17" s="2">
        <v>1.460210782094812</v>
      </c>
      <c r="BH17" s="2">
        <v>2.041164403110018</v>
      </c>
      <c r="BI17" s="2">
        <v>3.783302918086259</v>
      </c>
      <c r="BJ17" s="2">
        <v>0.62024156074638592</v>
      </c>
    </row>
    <row r="18" spans="1:62" x14ac:dyDescent="0.25">
      <c r="A18" t="s">
        <v>75</v>
      </c>
      <c r="B18" t="s">
        <v>76</v>
      </c>
      <c r="C18" t="s">
        <v>87</v>
      </c>
      <c r="D18" t="s">
        <v>78</v>
      </c>
      <c r="F18" t="s">
        <v>88</v>
      </c>
      <c r="G18" t="s">
        <v>89</v>
      </c>
      <c r="H18">
        <v>285</v>
      </c>
      <c r="I18" s="2">
        <v>2.436062396573618E-2</v>
      </c>
      <c r="J18" s="2">
        <v>4.3884393581317717E-2</v>
      </c>
      <c r="K18" s="2">
        <v>8.7931555184583302E-2</v>
      </c>
      <c r="L18" s="2">
        <v>7.052775988901859E-2</v>
      </c>
      <c r="M18" s="2">
        <v>6.3770682919347815E-2</v>
      </c>
      <c r="N18" s="2">
        <v>0.1010066829472189</v>
      </c>
      <c r="O18" s="2">
        <v>0.155083219145568</v>
      </c>
      <c r="P18" s="2">
        <v>0.63122992641350584</v>
      </c>
      <c r="Q18" s="2">
        <v>7.6001574918908466E-2</v>
      </c>
      <c r="R18" s="2">
        <v>6.610105899302976E-2</v>
      </c>
      <c r="S18" s="2">
        <v>0.15312184690631181</v>
      </c>
      <c r="T18" s="2">
        <v>0.33848846400129079</v>
      </c>
      <c r="U18" s="2">
        <v>0.26957289008066759</v>
      </c>
      <c r="V18" s="2">
        <v>0.25774215797963668</v>
      </c>
      <c r="W18" s="2">
        <v>0.47555555931983379</v>
      </c>
      <c r="X18" s="2">
        <v>0.64396109750884567</v>
      </c>
      <c r="Y18" s="2">
        <v>1.864107258180173</v>
      </c>
      <c r="Z18" s="2">
        <v>0.24840639482639251</v>
      </c>
      <c r="AA18" s="2">
        <v>5.3037722424704482E-3</v>
      </c>
      <c r="AB18" s="2">
        <v>1.321589951535649E-2</v>
      </c>
      <c r="AC18" s="2">
        <v>4.0148726534950399E-2</v>
      </c>
      <c r="AD18" s="2">
        <v>2.5566748206321929E-2</v>
      </c>
      <c r="AE18" s="2">
        <v>1.9576261134343301E-2</v>
      </c>
      <c r="AF18" s="2">
        <v>4.4140910729163707E-2</v>
      </c>
      <c r="AG18" s="2">
        <v>9.3707061090875871E-2</v>
      </c>
      <c r="AH18" s="2">
        <v>0.31815907970699192</v>
      </c>
      <c r="AI18" s="2">
        <v>4.8772544116390183E-2</v>
      </c>
      <c r="AJ18" s="2">
        <v>2.0690577565645671E-2</v>
      </c>
      <c r="AK18" s="2">
        <v>4.6199134191021347E-2</v>
      </c>
      <c r="AL18" s="2">
        <v>9.910525558208215E-2</v>
      </c>
      <c r="AM18" s="2">
        <v>6.9356585056384604E-2</v>
      </c>
      <c r="AN18" s="2">
        <v>6.5647848403432102E-2</v>
      </c>
      <c r="AO18" s="2">
        <v>9.3668511251113598E-2</v>
      </c>
      <c r="AP18" s="2">
        <v>0.12774959867938951</v>
      </c>
      <c r="AQ18" s="2">
        <v>4.0874348312847761</v>
      </c>
      <c r="AR18" s="2">
        <v>0.25548540909567591</v>
      </c>
      <c r="AS18" s="2">
        <v>5.8997033823744049E-2</v>
      </c>
      <c r="AT18" s="2">
        <v>0.11679940068339389</v>
      </c>
      <c r="AU18" s="2">
        <v>0.24333073365787411</v>
      </c>
      <c r="AV18" s="2">
        <v>0.19298722072527019</v>
      </c>
      <c r="AW18" s="2">
        <v>0.17837216711135179</v>
      </c>
      <c r="AX18" s="2">
        <v>0.2774017483722841</v>
      </c>
      <c r="AY18" s="2">
        <v>0.47627961708161531</v>
      </c>
      <c r="AZ18" s="2">
        <v>1.6077068513880259</v>
      </c>
      <c r="BA18" s="2">
        <v>0.21146090469080289</v>
      </c>
      <c r="BB18" s="2">
        <v>0.14052747062407411</v>
      </c>
      <c r="BC18" s="2">
        <v>0.23415708402694119</v>
      </c>
      <c r="BD18" s="2">
        <v>0.47671454056946377</v>
      </c>
      <c r="BE18" s="2">
        <v>0.38989923529340031</v>
      </c>
      <c r="BF18" s="2">
        <v>0.37828926762465781</v>
      </c>
      <c r="BG18" s="2">
        <v>0.59510862033749756</v>
      </c>
      <c r="BH18" s="2">
        <v>0.85974336910547677</v>
      </c>
      <c r="BI18" s="2">
        <v>4.0916308961097663</v>
      </c>
      <c r="BJ18" s="2">
        <v>0.38134198678209902</v>
      </c>
    </row>
    <row r="19" spans="1:62" x14ac:dyDescent="0.25">
      <c r="A19" t="s">
        <v>75</v>
      </c>
      <c r="B19" t="s">
        <v>76</v>
      </c>
      <c r="C19" t="s">
        <v>81</v>
      </c>
      <c r="D19" t="s">
        <v>69</v>
      </c>
      <c r="F19" t="s">
        <v>82</v>
      </c>
      <c r="G19" t="s">
        <v>83</v>
      </c>
      <c r="H19">
        <v>254</v>
      </c>
      <c r="I19" s="2">
        <v>4.0180343452987058E-2</v>
      </c>
      <c r="J19" s="2">
        <v>7.9234107926266659E-2</v>
      </c>
      <c r="K19" s="2">
        <v>0.13872359101277709</v>
      </c>
      <c r="L19" s="2">
        <v>0.1160173171341848</v>
      </c>
      <c r="M19" s="2">
        <v>0.10367443262271191</v>
      </c>
      <c r="N19" s="2">
        <v>0.1557931725585722</v>
      </c>
      <c r="O19" s="2">
        <v>0.23912206520850429</v>
      </c>
      <c r="P19" s="2">
        <v>0.72418678529782632</v>
      </c>
      <c r="Q19" s="2">
        <v>0.10567296080605409</v>
      </c>
      <c r="R19" s="2">
        <v>0.1890314788600036</v>
      </c>
      <c r="S19" s="2">
        <v>0.52762355471306988</v>
      </c>
      <c r="T19" s="2">
        <v>0.90956428631151331</v>
      </c>
      <c r="U19" s="2">
        <v>0.77426253028899439</v>
      </c>
      <c r="V19" s="2">
        <v>0.7680425611486652</v>
      </c>
      <c r="W19" s="2">
        <v>1.1123948990673349</v>
      </c>
      <c r="X19" s="2">
        <v>1.613842816711645</v>
      </c>
      <c r="Y19" s="2">
        <v>3.4804388990470732</v>
      </c>
      <c r="Z19" s="2">
        <v>0.56283392460955728</v>
      </c>
      <c r="AA19" s="2">
        <v>1.617343500929843E-2</v>
      </c>
      <c r="AB19" s="2">
        <v>4.4902697563260693E-2</v>
      </c>
      <c r="AC19" s="2">
        <v>8.9927608402863485E-2</v>
      </c>
      <c r="AD19" s="2">
        <v>6.9374783764308737E-2</v>
      </c>
      <c r="AE19" s="2">
        <v>6.5230461593983463E-2</v>
      </c>
      <c r="AF19" s="2">
        <v>0.10096572976983929</v>
      </c>
      <c r="AG19" s="2">
        <v>0.1698890326120609</v>
      </c>
      <c r="AH19" s="2">
        <v>0.63452137867844927</v>
      </c>
      <c r="AI19" s="2">
        <v>8.1957422251718828E-2</v>
      </c>
      <c r="AJ19" s="2">
        <v>4.7372143713368071E-2</v>
      </c>
      <c r="AK19" s="2">
        <v>0.1039768377172475</v>
      </c>
      <c r="AL19" s="2">
        <v>0.14707449561032729</v>
      </c>
      <c r="AM19" s="2">
        <v>0.13597581753497229</v>
      </c>
      <c r="AN19" s="2">
        <v>0.13490505224365071</v>
      </c>
      <c r="AO19" s="2">
        <v>0.1702713006450573</v>
      </c>
      <c r="AP19" s="2">
        <v>0.22059560452697971</v>
      </c>
      <c r="AQ19" s="2">
        <v>0.46898166275452591</v>
      </c>
      <c r="AR19" s="2">
        <v>6.4382938666446218E-2</v>
      </c>
      <c r="AS19" s="2">
        <v>0.1272638204675626</v>
      </c>
      <c r="AT19" s="2">
        <v>0.31197173148807539</v>
      </c>
      <c r="AU19" s="2">
        <v>0.53753747402069041</v>
      </c>
      <c r="AV19" s="2">
        <v>0.45939442696665578</v>
      </c>
      <c r="AW19" s="2">
        <v>0.48787505397412712</v>
      </c>
      <c r="AX19" s="2">
        <v>0.64493927252689975</v>
      </c>
      <c r="AY19" s="2">
        <v>0.86964414598138662</v>
      </c>
      <c r="AZ19" s="2">
        <v>3.479443566146748</v>
      </c>
      <c r="BA19" s="2">
        <v>0.35298048077777561</v>
      </c>
      <c r="BB19" s="2">
        <v>0.27763189658250731</v>
      </c>
      <c r="BC19" s="2">
        <v>0.69614463657202807</v>
      </c>
      <c r="BD19" s="2">
        <v>1.1067066908350689</v>
      </c>
      <c r="BE19" s="2">
        <v>0.96765629064026071</v>
      </c>
      <c r="BF19" s="2">
        <v>0.96296339945729548</v>
      </c>
      <c r="BG19" s="2">
        <v>1.3084177539462361</v>
      </c>
      <c r="BH19" s="2">
        <v>1.82948025904824</v>
      </c>
      <c r="BI19" s="2">
        <v>4.9431106370381803</v>
      </c>
      <c r="BJ19" s="2">
        <v>0.63528484774545435</v>
      </c>
    </row>
    <row r="20" spans="1:62" x14ac:dyDescent="0.25">
      <c r="A20" t="s">
        <v>140</v>
      </c>
      <c r="B20" t="s">
        <v>141</v>
      </c>
      <c r="C20" t="s">
        <v>148</v>
      </c>
      <c r="D20" t="s">
        <v>69</v>
      </c>
      <c r="F20" t="s">
        <v>149</v>
      </c>
      <c r="G20" t="s">
        <v>150</v>
      </c>
      <c r="H20">
        <v>220</v>
      </c>
      <c r="I20" s="2">
        <v>3.7157233481517428E-2</v>
      </c>
      <c r="J20" s="2">
        <v>6.1226713706328088E-2</v>
      </c>
      <c r="K20" s="2">
        <v>0.1291344354453702</v>
      </c>
      <c r="L20" s="2">
        <v>9.7168082019894506E-2</v>
      </c>
      <c r="M20" s="2">
        <v>8.0916631404619549E-2</v>
      </c>
      <c r="N20" s="2">
        <v>0.1334840875324384</v>
      </c>
      <c r="O20" s="2">
        <v>0.25382486289575679</v>
      </c>
      <c r="P20" s="2">
        <v>1.0451247150460079</v>
      </c>
      <c r="Q20" s="2">
        <v>0.14182300078936599</v>
      </c>
      <c r="R20" s="2">
        <v>4.2918760466723639E-2</v>
      </c>
      <c r="S20" s="2">
        <v>0.13083266599296861</v>
      </c>
      <c r="T20" s="2">
        <v>0.5138764370112695</v>
      </c>
      <c r="U20" s="2">
        <v>0.32616553238394508</v>
      </c>
      <c r="V20" s="2">
        <v>0.41554476202751628</v>
      </c>
      <c r="W20" s="2">
        <v>0.67301279389663926</v>
      </c>
      <c r="X20" s="2">
        <v>1.0248636729288301</v>
      </c>
      <c r="Y20" s="2">
        <v>3.896741432273894</v>
      </c>
      <c r="Z20" s="2">
        <v>0.53657337630378976</v>
      </c>
      <c r="AA20" s="2">
        <v>4.3908996800200301E-3</v>
      </c>
      <c r="AB20" s="2">
        <v>8.3986291706933287E-3</v>
      </c>
      <c r="AC20" s="2">
        <v>2.0749760769244958E-2</v>
      </c>
      <c r="AD20" s="2">
        <v>1.5558566595972149E-2</v>
      </c>
      <c r="AE20" s="2">
        <v>1.5704987824423339E-2</v>
      </c>
      <c r="AF20" s="2">
        <v>2.4364597454008052E-2</v>
      </c>
      <c r="AG20" s="2">
        <v>4.5280644551698293E-2</v>
      </c>
      <c r="AH20" s="2">
        <v>0.10986318764718241</v>
      </c>
      <c r="AI20" s="2">
        <v>1.826776412780818E-2</v>
      </c>
      <c r="AJ20" s="2">
        <v>7.8612976028134187E-3</v>
      </c>
      <c r="AK20" s="2">
        <v>2.448958747669145E-2</v>
      </c>
      <c r="AL20" s="2">
        <v>4.5001091115892691E-2</v>
      </c>
      <c r="AM20" s="2">
        <v>3.8244367587695199E-2</v>
      </c>
      <c r="AN20" s="2">
        <v>3.9127201822216753E-2</v>
      </c>
      <c r="AO20" s="2">
        <v>5.6053834459293551E-2</v>
      </c>
      <c r="AP20" s="2">
        <v>7.5228341627391296E-2</v>
      </c>
      <c r="AQ20" s="2">
        <v>0.19139393929798301</v>
      </c>
      <c r="AR20" s="2">
        <v>2.7953169876317789E-2</v>
      </c>
      <c r="AS20" s="2">
        <v>2.983588443468704E-2</v>
      </c>
      <c r="AT20" s="2">
        <v>6.7434581725118334E-2</v>
      </c>
      <c r="AU20" s="2">
        <v>0.15972902990761501</v>
      </c>
      <c r="AV20" s="2">
        <v>0.12188145203372069</v>
      </c>
      <c r="AW20" s="2">
        <v>0.1275638020020467</v>
      </c>
      <c r="AX20" s="2">
        <v>0.20243251954946009</v>
      </c>
      <c r="AY20" s="2">
        <v>0.31051677862986132</v>
      </c>
      <c r="AZ20" s="2">
        <v>1.0191144292963381</v>
      </c>
      <c r="BA20" s="2">
        <v>0.13335278375909851</v>
      </c>
      <c r="BB20" s="2">
        <v>7.8812245241459813E-2</v>
      </c>
      <c r="BC20" s="2">
        <v>0.1836142134955083</v>
      </c>
      <c r="BD20" s="2">
        <v>0.58286751800008585</v>
      </c>
      <c r="BE20" s="2">
        <v>0.40638490800608801</v>
      </c>
      <c r="BF20" s="2">
        <v>0.45310699987817149</v>
      </c>
      <c r="BG20" s="2">
        <v>0.79088303379785696</v>
      </c>
      <c r="BH20" s="2">
        <v>1.1266009298934689</v>
      </c>
      <c r="BI20" s="2">
        <v>3.910746520806482</v>
      </c>
      <c r="BJ20" s="2">
        <v>0.54383851010607376</v>
      </c>
    </row>
    <row r="21" spans="1:62" x14ac:dyDescent="0.25">
      <c r="A21" t="s">
        <v>62</v>
      </c>
      <c r="B21" t="s">
        <v>63</v>
      </c>
      <c r="C21" t="s">
        <v>68</v>
      </c>
      <c r="D21" t="s">
        <v>69</v>
      </c>
      <c r="F21" t="s">
        <v>70</v>
      </c>
      <c r="G21" t="s">
        <v>71</v>
      </c>
      <c r="H21">
        <v>308</v>
      </c>
      <c r="I21" s="2">
        <v>0.40152535411851642</v>
      </c>
      <c r="J21" s="2">
        <v>0.61466486600795678</v>
      </c>
      <c r="K21" s="2">
        <v>0.86272556431399294</v>
      </c>
      <c r="L21" s="2">
        <v>0.80821828095654469</v>
      </c>
      <c r="M21" s="2">
        <v>0.79345560668252002</v>
      </c>
      <c r="N21" s="2">
        <v>0.99915825066936259</v>
      </c>
      <c r="O21" s="2">
        <v>1.2623466121241711</v>
      </c>
      <c r="P21" s="2">
        <v>2.2091937058574111</v>
      </c>
      <c r="Q21" s="2">
        <v>0.34425156158251258</v>
      </c>
      <c r="R21" s="2">
        <v>1.424810373347976</v>
      </c>
      <c r="S21" s="2">
        <v>1.949639153147344</v>
      </c>
      <c r="T21" s="2">
        <v>2.624613051679022</v>
      </c>
      <c r="U21" s="2">
        <v>2.4432800860345592</v>
      </c>
      <c r="V21" s="2">
        <v>2.2746917483415761</v>
      </c>
      <c r="W21" s="2">
        <v>2.8448105947883922</v>
      </c>
      <c r="X21" s="2">
        <v>3.879956715072562</v>
      </c>
      <c r="Y21" s="2">
        <v>11.237492358173149</v>
      </c>
      <c r="Z21" s="2">
        <v>1.2140347720235909</v>
      </c>
      <c r="AA21" s="2">
        <v>0.13420879255846091</v>
      </c>
      <c r="AB21" s="2">
        <v>0.28975533668474801</v>
      </c>
      <c r="AC21" s="2">
        <v>0.43876690084804781</v>
      </c>
      <c r="AD21" s="2">
        <v>0.38991061124439957</v>
      </c>
      <c r="AE21" s="2">
        <v>0.37926310683877201</v>
      </c>
      <c r="AF21" s="2">
        <v>0.48347232462956302</v>
      </c>
      <c r="AG21" s="2">
        <v>0.68268382571733244</v>
      </c>
      <c r="AH21" s="2">
        <v>2.3293497826646821</v>
      </c>
      <c r="AI21" s="2">
        <v>0.26740222024799121</v>
      </c>
      <c r="AJ21" s="2">
        <v>5.8193040821046621E-2</v>
      </c>
      <c r="AK21" s="2">
        <v>0.16366228546418579</v>
      </c>
      <c r="AL21" s="2">
        <v>0.22805038034482489</v>
      </c>
      <c r="AM21" s="2">
        <v>0.2109876590312284</v>
      </c>
      <c r="AN21" s="2">
        <v>0.20798542913753151</v>
      </c>
      <c r="AO21" s="2">
        <v>0.2638606703553894</v>
      </c>
      <c r="AP21" s="2">
        <v>0.34516385382688353</v>
      </c>
      <c r="AQ21" s="2">
        <v>0.82555841101644645</v>
      </c>
      <c r="AR21" s="2">
        <v>0.1009329696552272</v>
      </c>
      <c r="AS21" s="2">
        <v>0.70320274459077592</v>
      </c>
      <c r="AT21" s="2">
        <v>1.3793863090066709</v>
      </c>
      <c r="AU21" s="2">
        <v>1.9135665885840401</v>
      </c>
      <c r="AV21" s="2">
        <v>1.741545221017812</v>
      </c>
      <c r="AW21" s="2">
        <v>1.6627285397087721</v>
      </c>
      <c r="AX21" s="2">
        <v>2.115506594963187</v>
      </c>
      <c r="AY21" s="2">
        <v>2.6572482921465679</v>
      </c>
      <c r="AZ21" s="2">
        <v>19.027345818321589</v>
      </c>
      <c r="BA21" s="2">
        <v>1.285518738025228</v>
      </c>
      <c r="BB21" s="2">
        <v>1.8752437814854901</v>
      </c>
      <c r="BC21" s="2">
        <v>2.6545558951069972</v>
      </c>
      <c r="BD21" s="2">
        <v>3.5110562794441251</v>
      </c>
      <c r="BE21" s="2">
        <v>3.3017124659265078</v>
      </c>
      <c r="BF21" s="2">
        <v>3.1064900696401359</v>
      </c>
      <c r="BG21" s="2">
        <v>3.8267656062620401</v>
      </c>
      <c r="BH21" s="2">
        <v>4.9080016881452257</v>
      </c>
      <c r="BI21" s="2">
        <v>19.587580334997991</v>
      </c>
      <c r="BJ21" s="2">
        <v>1.592389639642587</v>
      </c>
    </row>
    <row r="22" spans="1:62" x14ac:dyDescent="0.25">
      <c r="A22" t="s">
        <v>107</v>
      </c>
      <c r="B22" t="s">
        <v>63</v>
      </c>
      <c r="C22" t="s">
        <v>108</v>
      </c>
      <c r="D22" t="s">
        <v>69</v>
      </c>
      <c r="F22" t="s">
        <v>109</v>
      </c>
      <c r="G22" t="s">
        <v>110</v>
      </c>
      <c r="H22">
        <v>355</v>
      </c>
      <c r="I22" s="2">
        <v>4.3922545463577128E-2</v>
      </c>
      <c r="J22" s="2">
        <v>0.1150274617802821</v>
      </c>
      <c r="K22" s="2">
        <v>0.27598059852709139</v>
      </c>
      <c r="L22" s="2">
        <v>0.19776046868390451</v>
      </c>
      <c r="M22" s="2">
        <v>0.18171433625336231</v>
      </c>
      <c r="N22" s="2">
        <v>0.30772468895269378</v>
      </c>
      <c r="O22" s="2">
        <v>0.54442745696356332</v>
      </c>
      <c r="P22" s="2">
        <v>3.5849963946983272</v>
      </c>
      <c r="Q22" s="2">
        <v>0.33298234449981923</v>
      </c>
      <c r="R22" s="2">
        <v>0.22617369431478981</v>
      </c>
      <c r="S22" s="2">
        <v>0.81531726521209513</v>
      </c>
      <c r="T22" s="2">
        <v>1.380273837113235</v>
      </c>
      <c r="U22" s="2">
        <v>1.133578808757679</v>
      </c>
      <c r="V22" s="2">
        <v>1.214914902369709</v>
      </c>
      <c r="W22" s="2">
        <v>1.7445961954654921</v>
      </c>
      <c r="X22" s="2">
        <v>2.4674081210882099</v>
      </c>
      <c r="Y22" s="2">
        <v>6.9052444127633894</v>
      </c>
      <c r="Z22" s="2">
        <v>0.86600782829108602</v>
      </c>
      <c r="AA22" s="2">
        <v>3.7695888369953558E-2</v>
      </c>
      <c r="AB22" s="2">
        <v>8.7609669801693393E-2</v>
      </c>
      <c r="AC22" s="2">
        <v>0.19110970027616689</v>
      </c>
      <c r="AD22" s="2">
        <v>0.15415135812141451</v>
      </c>
      <c r="AE22" s="2">
        <v>0.16512525548806881</v>
      </c>
      <c r="AF22" s="2">
        <v>0.24094962189435129</v>
      </c>
      <c r="AG22" s="2">
        <v>0.34889981144693871</v>
      </c>
      <c r="AH22" s="2">
        <v>1.2169922883897011</v>
      </c>
      <c r="AI22" s="2">
        <v>0.14013333635801739</v>
      </c>
      <c r="AJ22" s="2">
        <v>3.3361504762225581E-2</v>
      </c>
      <c r="AK22" s="2">
        <v>8.499255908039742E-2</v>
      </c>
      <c r="AL22" s="2">
        <v>0.1575024584783348</v>
      </c>
      <c r="AM22" s="2">
        <v>0.12969555786935899</v>
      </c>
      <c r="AN22" s="2">
        <v>0.12849743188095239</v>
      </c>
      <c r="AO22" s="2">
        <v>0.19519146672778551</v>
      </c>
      <c r="AP22" s="2">
        <v>0.26920817943355618</v>
      </c>
      <c r="AQ22" s="2">
        <v>1.2190143026232301</v>
      </c>
      <c r="AR22" s="2">
        <v>0.1218902927651751</v>
      </c>
      <c r="AS22" s="2">
        <v>0.11625403218813531</v>
      </c>
      <c r="AT22" s="2">
        <v>0.46527597217548838</v>
      </c>
      <c r="AU22" s="2">
        <v>0.89732923729513037</v>
      </c>
      <c r="AV22" s="2">
        <v>0.70437524451453093</v>
      </c>
      <c r="AW22" s="2">
        <v>0.72235986876348557</v>
      </c>
      <c r="AX22" s="2">
        <v>1.0711109066511151</v>
      </c>
      <c r="AY22" s="2">
        <v>1.5530035750586511</v>
      </c>
      <c r="AZ22" s="2">
        <v>5.1266900588976512</v>
      </c>
      <c r="BA22" s="2">
        <v>0.71585010975818564</v>
      </c>
      <c r="BB22" s="2">
        <v>0.27706378327020659</v>
      </c>
      <c r="BC22" s="2">
        <v>1.000062518256152</v>
      </c>
      <c r="BD22" s="2">
        <v>1.7481718130614969</v>
      </c>
      <c r="BE22" s="2">
        <v>1.4436553933220171</v>
      </c>
      <c r="BF22" s="2">
        <v>1.546548993727648</v>
      </c>
      <c r="BG22" s="2">
        <v>2.221400794932165</v>
      </c>
      <c r="BH22" s="2">
        <v>3.235738982080286</v>
      </c>
      <c r="BI22" s="2">
        <v>8.1532136130485355</v>
      </c>
      <c r="BJ22" s="2">
        <v>1.0949614870379789</v>
      </c>
    </row>
    <row r="23" spans="1:62" x14ac:dyDescent="0.25">
      <c r="A23" t="s">
        <v>107</v>
      </c>
      <c r="B23" t="s">
        <v>63</v>
      </c>
      <c r="C23" t="s">
        <v>121</v>
      </c>
      <c r="D23" t="s">
        <v>78</v>
      </c>
      <c r="F23" t="s">
        <v>122</v>
      </c>
      <c r="G23" t="s">
        <v>123</v>
      </c>
      <c r="H23">
        <v>300</v>
      </c>
      <c r="I23" s="2">
        <v>3.9674677062327801E-2</v>
      </c>
      <c r="J23" s="2">
        <v>7.4110307820028656E-2</v>
      </c>
      <c r="K23" s="2">
        <v>0.16840859039027911</v>
      </c>
      <c r="L23" s="2">
        <v>0.13016122171319081</v>
      </c>
      <c r="M23" s="2">
        <v>0.11744585614424401</v>
      </c>
      <c r="N23" s="2">
        <v>0.20262390033264641</v>
      </c>
      <c r="O23" s="2">
        <v>0.33149368479542263</v>
      </c>
      <c r="P23" s="2">
        <v>1.44898257753501</v>
      </c>
      <c r="Q23" s="2">
        <v>0.15770793965489871</v>
      </c>
      <c r="R23" s="2">
        <v>0.29890070257528673</v>
      </c>
      <c r="S23" s="2">
        <v>0.69197229646098446</v>
      </c>
      <c r="T23" s="2">
        <v>1.008330007884211</v>
      </c>
      <c r="U23" s="2">
        <v>0.92396733313738633</v>
      </c>
      <c r="V23" s="2">
        <v>0.9308322924116218</v>
      </c>
      <c r="W23" s="2">
        <v>1.2628222616517171</v>
      </c>
      <c r="X23" s="2">
        <v>1.6120528398272349</v>
      </c>
      <c r="Y23" s="2">
        <v>2.7843277411253151</v>
      </c>
      <c r="Z23" s="2">
        <v>0.42614830414302218</v>
      </c>
      <c r="AA23" s="2">
        <v>3.9751729522122678E-2</v>
      </c>
      <c r="AB23" s="2">
        <v>6.552263296125635E-2</v>
      </c>
      <c r="AC23" s="2">
        <v>0.1010317541302434</v>
      </c>
      <c r="AD23" s="2">
        <v>9.0112605668594442E-2</v>
      </c>
      <c r="AE23" s="2">
        <v>8.1111133527778406E-2</v>
      </c>
      <c r="AF23" s="2">
        <v>0.1178706106932986</v>
      </c>
      <c r="AG23" s="2">
        <v>0.17493117795261051</v>
      </c>
      <c r="AH23" s="2">
        <v>0.46253340419909128</v>
      </c>
      <c r="AI23" s="2">
        <v>5.6558247632716351E-2</v>
      </c>
      <c r="AJ23" s="2">
        <v>3.6539157078400157E-2</v>
      </c>
      <c r="AK23" s="2">
        <v>6.3280753678641846E-2</v>
      </c>
      <c r="AL23" s="2">
        <v>9.7022357222748906E-2</v>
      </c>
      <c r="AM23" s="2">
        <v>8.7021029178225601E-2</v>
      </c>
      <c r="AN23" s="2">
        <v>8.1127309100649164E-2</v>
      </c>
      <c r="AO23" s="2">
        <v>0.1143993568674036</v>
      </c>
      <c r="AP23" s="2">
        <v>0.16372880358329431</v>
      </c>
      <c r="AQ23" s="2">
        <v>0.40787434339511952</v>
      </c>
      <c r="AR23" s="2">
        <v>5.1885900343505237E-2</v>
      </c>
      <c r="AS23" s="2">
        <v>0.1191377354157783</v>
      </c>
      <c r="AT23" s="2">
        <v>0.23968237513933141</v>
      </c>
      <c r="AU23" s="2">
        <v>0.4005701346945264</v>
      </c>
      <c r="AV23" s="2">
        <v>0.34989302702690989</v>
      </c>
      <c r="AW23" s="2">
        <v>0.34209245134373129</v>
      </c>
      <c r="AX23" s="2">
        <v>0.47390527264033577</v>
      </c>
      <c r="AY23" s="2">
        <v>0.67728928511278286</v>
      </c>
      <c r="AZ23" s="2">
        <v>2.0400816797373582</v>
      </c>
      <c r="BA23" s="2">
        <v>0.243873322818941</v>
      </c>
      <c r="BB23" s="2">
        <v>0.39074086041774531</v>
      </c>
      <c r="BC23" s="2">
        <v>0.77225453238905684</v>
      </c>
      <c r="BD23" s="2">
        <v>1.1308000315827089</v>
      </c>
      <c r="BE23" s="2">
        <v>1.042511685143414</v>
      </c>
      <c r="BF23" s="2">
        <v>1.0127476607200161</v>
      </c>
      <c r="BG23" s="2">
        <v>1.3936085132689</v>
      </c>
      <c r="BH23" s="2">
        <v>1.792209828479199</v>
      </c>
      <c r="BI23" s="2">
        <v>3.309127193082793</v>
      </c>
      <c r="BJ23" s="2">
        <v>0.46703278025421752</v>
      </c>
    </row>
    <row r="24" spans="1:62" x14ac:dyDescent="0.25">
      <c r="A24" t="s">
        <v>62</v>
      </c>
      <c r="B24" t="s">
        <v>63</v>
      </c>
      <c r="C24" t="s">
        <v>72</v>
      </c>
      <c r="D24" t="s">
        <v>69</v>
      </c>
      <c r="F24" t="s">
        <v>73</v>
      </c>
      <c r="G24" t="s">
        <v>74</v>
      </c>
      <c r="H24">
        <v>227</v>
      </c>
      <c r="I24" s="2">
        <v>9.4691393484307745E-2</v>
      </c>
      <c r="J24" s="2">
        <v>0.23112133411561209</v>
      </c>
      <c r="K24" s="2">
        <v>0.50135352346131701</v>
      </c>
      <c r="L24" s="2">
        <v>0.37638014802597652</v>
      </c>
      <c r="M24" s="2">
        <v>0.34771494072012488</v>
      </c>
      <c r="N24" s="2">
        <v>0.5421425686918302</v>
      </c>
      <c r="O24" s="2">
        <v>0.84219626842513617</v>
      </c>
      <c r="P24" s="2">
        <v>6.4500908435463149</v>
      </c>
      <c r="Q24" s="2">
        <v>0.61655676849798591</v>
      </c>
      <c r="R24" s="2">
        <v>0.62879734414197397</v>
      </c>
      <c r="S24" s="2">
        <v>1.0832498058472231</v>
      </c>
      <c r="T24" s="2">
        <v>2.2080330816598912</v>
      </c>
      <c r="U24" s="2">
        <v>1.7293002198269101</v>
      </c>
      <c r="V24" s="2">
        <v>1.525273306656876</v>
      </c>
      <c r="W24" s="2">
        <v>2.3557233434298692</v>
      </c>
      <c r="X24" s="2">
        <v>4.5131361452554373</v>
      </c>
      <c r="Y24" s="2">
        <v>14.17813374037641</v>
      </c>
      <c r="Z24" s="2">
        <v>2.0536199348255182</v>
      </c>
      <c r="AA24" s="2">
        <v>7.3105129778969685E-2</v>
      </c>
      <c r="AB24" s="2">
        <v>0.16198044210282969</v>
      </c>
      <c r="AC24" s="2">
        <v>0.30226832286040572</v>
      </c>
      <c r="AD24" s="2">
        <v>0.24751184331567519</v>
      </c>
      <c r="AE24" s="2">
        <v>0.2424359090563937</v>
      </c>
      <c r="AF24" s="2">
        <v>0.35733244163463268</v>
      </c>
      <c r="AG24" s="2">
        <v>0.5875589343808596</v>
      </c>
      <c r="AH24" s="2">
        <v>1.388436631611252</v>
      </c>
      <c r="AI24" s="2">
        <v>0.21599592430910591</v>
      </c>
      <c r="AJ24" s="2">
        <v>3.0908736628985661E-2</v>
      </c>
      <c r="AK24" s="2">
        <v>7.7002870718727107E-2</v>
      </c>
      <c r="AL24" s="2">
        <v>0.14486005674312549</v>
      </c>
      <c r="AM24" s="2">
        <v>0.1207276103660315</v>
      </c>
      <c r="AN24" s="2">
        <v>0.1214753884537934</v>
      </c>
      <c r="AO24" s="2">
        <v>0.174472487964796</v>
      </c>
      <c r="AP24" s="2">
        <v>0.27269828521429962</v>
      </c>
      <c r="AQ24" s="2">
        <v>0.613915898148924</v>
      </c>
      <c r="AR24" s="2">
        <v>9.6850719657916001E-2</v>
      </c>
      <c r="AS24" s="2">
        <v>0.30532970703814588</v>
      </c>
      <c r="AT24" s="2">
        <v>0.5447848143535492</v>
      </c>
      <c r="AU24" s="2">
        <v>1.0975546723063929</v>
      </c>
      <c r="AV24" s="2">
        <v>0.86459335783259905</v>
      </c>
      <c r="AW24" s="2">
        <v>0.81118092926300989</v>
      </c>
      <c r="AX24" s="2">
        <v>1.153820942759985</v>
      </c>
      <c r="AY24" s="2">
        <v>2.0814286871538088</v>
      </c>
      <c r="AZ24" s="2">
        <v>6.864565066338872</v>
      </c>
      <c r="BA24" s="2">
        <v>0.99240571493206098</v>
      </c>
      <c r="BB24" s="2">
        <v>0.72997820515409895</v>
      </c>
      <c r="BC24" s="2">
        <v>1.340095233768835</v>
      </c>
      <c r="BD24" s="2">
        <v>2.6616607172359021</v>
      </c>
      <c r="BE24" s="2">
        <v>2.11858483093856</v>
      </c>
      <c r="BF24" s="2">
        <v>1.8159720399829939</v>
      </c>
      <c r="BG24" s="2">
        <v>3.11155073478142</v>
      </c>
      <c r="BH24" s="2">
        <v>5.2850957948216628</v>
      </c>
      <c r="BI24" s="2">
        <v>14.262494269586931</v>
      </c>
      <c r="BJ24" s="2">
        <v>2.234920593484945</v>
      </c>
    </row>
    <row r="25" spans="1:62" x14ac:dyDescent="0.25">
      <c r="A25" t="s">
        <v>124</v>
      </c>
      <c r="B25" t="s">
        <v>63</v>
      </c>
      <c r="C25" t="s">
        <v>128</v>
      </c>
      <c r="D25" t="s">
        <v>78</v>
      </c>
      <c r="F25" t="s">
        <v>129</v>
      </c>
      <c r="G25" t="s">
        <v>130</v>
      </c>
      <c r="H25">
        <v>382</v>
      </c>
      <c r="I25" s="2">
        <v>2.5241236102853601E-2</v>
      </c>
      <c r="J25" s="2">
        <v>5.583585615422474E-2</v>
      </c>
      <c r="K25" s="2">
        <v>0.14914511173681899</v>
      </c>
      <c r="L25" s="2">
        <v>9.9117334079006178E-2</v>
      </c>
      <c r="M25" s="2">
        <v>0.1023030992327191</v>
      </c>
      <c r="N25" s="2">
        <v>0.15389505401135101</v>
      </c>
      <c r="O25" s="2">
        <v>0.2260071407594213</v>
      </c>
      <c r="P25" s="2">
        <v>2.1917005338321198</v>
      </c>
      <c r="Q25" s="2">
        <v>0.22706466199178771</v>
      </c>
      <c r="R25" s="2">
        <v>0.18026388989478731</v>
      </c>
      <c r="S25" s="2">
        <v>0.41266314533107501</v>
      </c>
      <c r="T25" s="2">
        <v>0.84808106331217836</v>
      </c>
      <c r="U25" s="2">
        <v>0.67232478066587442</v>
      </c>
      <c r="V25" s="2">
        <v>0.61799179095815249</v>
      </c>
      <c r="W25" s="2">
        <v>1.024444579580067</v>
      </c>
      <c r="X25" s="2">
        <v>1.684293716081803</v>
      </c>
      <c r="Y25" s="2">
        <v>4.4093546579970182</v>
      </c>
      <c r="Z25" s="2">
        <v>0.6705860692693657</v>
      </c>
      <c r="AA25" s="2">
        <v>1.1249444430726349E-2</v>
      </c>
      <c r="AB25" s="2">
        <v>3.3056831620072398E-2</v>
      </c>
      <c r="AC25" s="2">
        <v>6.4306712838482147E-2</v>
      </c>
      <c r="AD25" s="2">
        <v>5.0419222994814439E-2</v>
      </c>
      <c r="AE25" s="2">
        <v>4.7896203199893961E-2</v>
      </c>
      <c r="AF25" s="2">
        <v>7.7236259918062433E-2</v>
      </c>
      <c r="AG25" s="2">
        <v>0.1215156681999662</v>
      </c>
      <c r="AH25" s="2">
        <v>0.81305529332266202</v>
      </c>
      <c r="AI25" s="2">
        <v>6.1574382247985983E-2</v>
      </c>
      <c r="AJ25" s="2">
        <v>2.1446678064446251E-2</v>
      </c>
      <c r="AK25" s="2">
        <v>4.8549330577800379E-2</v>
      </c>
      <c r="AL25" s="2">
        <v>8.5960534992182619E-2</v>
      </c>
      <c r="AM25" s="2">
        <v>7.011249543372125E-2</v>
      </c>
      <c r="AN25" s="2">
        <v>6.4568574243097032E-2</v>
      </c>
      <c r="AO25" s="2">
        <v>8.9525144182361127E-2</v>
      </c>
      <c r="AP25" s="2">
        <v>0.164181168609837</v>
      </c>
      <c r="AQ25" s="2">
        <v>0.54217159645263591</v>
      </c>
      <c r="AR25" s="2">
        <v>7.0906481679253702E-2</v>
      </c>
      <c r="AS25" s="2">
        <v>5.0888702086022967E-2</v>
      </c>
      <c r="AT25" s="2">
        <v>0.16871096229401819</v>
      </c>
      <c r="AU25" s="2">
        <v>0.39433533327551018</v>
      </c>
      <c r="AV25" s="2">
        <v>0.27464398615490498</v>
      </c>
      <c r="AW25" s="2">
        <v>0.25438617147969339</v>
      </c>
      <c r="AX25" s="2">
        <v>0.44879926168874212</v>
      </c>
      <c r="AY25" s="2">
        <v>0.76015680255206519</v>
      </c>
      <c r="AZ25" s="2">
        <v>8.8337310707310959</v>
      </c>
      <c r="BA25" s="2">
        <v>0.56957433517486522</v>
      </c>
      <c r="BB25" s="2">
        <v>0.25432956965323561</v>
      </c>
      <c r="BC25" s="2">
        <v>0.48955301440057242</v>
      </c>
      <c r="BD25" s="2">
        <v>1.007539094766327</v>
      </c>
      <c r="BE25" s="2">
        <v>0.80157815259824738</v>
      </c>
      <c r="BF25" s="2">
        <v>0.72818262766282138</v>
      </c>
      <c r="BG25" s="2">
        <v>1.1958820083885979</v>
      </c>
      <c r="BH25" s="2">
        <v>1.947097155438934</v>
      </c>
      <c r="BI25" s="2">
        <v>8.9382643382258493</v>
      </c>
      <c r="BJ25" s="2">
        <v>0.85297941877252648</v>
      </c>
    </row>
    <row r="26" spans="1:62" x14ac:dyDescent="0.25">
      <c r="A26" t="s">
        <v>140</v>
      </c>
      <c r="B26" t="s">
        <v>141</v>
      </c>
      <c r="C26" t="s">
        <v>142</v>
      </c>
      <c r="D26" t="s">
        <v>65</v>
      </c>
      <c r="F26" t="s">
        <v>143</v>
      </c>
      <c r="G26" t="s">
        <v>144</v>
      </c>
      <c r="H26">
        <v>278</v>
      </c>
      <c r="I26" s="2">
        <v>2.0912197397691141E-2</v>
      </c>
      <c r="J26" s="2">
        <v>3.7864901615721383E-2</v>
      </c>
      <c r="K26" s="2">
        <v>5.6767293396399313E-2</v>
      </c>
      <c r="L26" s="2">
        <v>5.171461845583504E-2</v>
      </c>
      <c r="M26" s="2">
        <v>4.7930794052452541E-2</v>
      </c>
      <c r="N26" s="2">
        <v>7.1727342963576524E-2</v>
      </c>
      <c r="O26" s="2">
        <v>9.0195295931765063E-2</v>
      </c>
      <c r="P26" s="2">
        <v>0.1860339753915935</v>
      </c>
      <c r="Q26" s="2">
        <v>2.6353510601556471E-2</v>
      </c>
      <c r="R26" s="2">
        <v>1.5411035007422439E-2</v>
      </c>
      <c r="S26" s="2">
        <v>2.4094647746661708E-2</v>
      </c>
      <c r="T26" s="2">
        <v>7.2385591360278084E-2</v>
      </c>
      <c r="U26" s="2">
        <v>4.8651728511339733E-2</v>
      </c>
      <c r="V26" s="2">
        <v>3.6892584023823699E-2</v>
      </c>
      <c r="W26" s="2">
        <v>9.0101829094770186E-2</v>
      </c>
      <c r="X26" s="2">
        <v>0.17495040440601001</v>
      </c>
      <c r="Y26" s="2">
        <v>0.40580653025795438</v>
      </c>
      <c r="Z26" s="2">
        <v>7.3134262156645313E-2</v>
      </c>
      <c r="AA26" s="2">
        <v>4.3908996800200301E-3</v>
      </c>
      <c r="AB26" s="2">
        <v>5.3037722424704482E-3</v>
      </c>
      <c r="AC26" s="2">
        <v>1.285606656689316E-2</v>
      </c>
      <c r="AD26" s="2">
        <v>9.2698861376271629E-3</v>
      </c>
      <c r="AE26" s="2">
        <v>6.2801273872430327E-3</v>
      </c>
      <c r="AF26" s="2">
        <v>1.6505319708684549E-2</v>
      </c>
      <c r="AG26" s="2">
        <v>2.89284898055042E-2</v>
      </c>
      <c r="AH26" s="2">
        <v>7.2600000000000012E-2</v>
      </c>
      <c r="AI26" s="2">
        <v>1.280421884090968E-2</v>
      </c>
      <c r="AJ26" s="2">
        <v>6.581793068761734E-3</v>
      </c>
      <c r="AK26" s="2">
        <v>6.581793068761734E-3</v>
      </c>
      <c r="AL26" s="2">
        <v>1.066448024269597E-2</v>
      </c>
      <c r="AM26" s="2">
        <v>8.9152049558630115E-3</v>
      </c>
      <c r="AN26" s="2">
        <v>6.581793068761734E-3</v>
      </c>
      <c r="AO26" s="2">
        <v>1.241772926102031E-2</v>
      </c>
      <c r="AP26" s="2">
        <v>2.0726553017807851E-2</v>
      </c>
      <c r="AQ26" s="2">
        <v>5.1090116461014239E-2</v>
      </c>
      <c r="AR26" s="2">
        <v>8.39049087873831E-3</v>
      </c>
      <c r="AS26" s="2">
        <v>6.3592452382338583E-3</v>
      </c>
      <c r="AT26" s="2">
        <v>8.0548122262409077E-3</v>
      </c>
      <c r="AU26" s="2">
        <v>3.4869868551506589E-2</v>
      </c>
      <c r="AV26" s="2">
        <v>1.870833354172842E-2</v>
      </c>
      <c r="AW26" s="2">
        <v>1.3688316185711079E-2</v>
      </c>
      <c r="AX26" s="2">
        <v>4.5269176624650562E-2</v>
      </c>
      <c r="AY26" s="2">
        <v>8.9231571640397286E-2</v>
      </c>
      <c r="AZ26" s="2">
        <v>0.35266869722162753</v>
      </c>
      <c r="BA26" s="2">
        <v>4.8468883549112288E-2</v>
      </c>
      <c r="BB26" s="2">
        <v>3.3498507429436317E-2</v>
      </c>
      <c r="BC26" s="2">
        <v>4.9895554611484753E-2</v>
      </c>
      <c r="BD26" s="2">
        <v>0.10619274483585089</v>
      </c>
      <c r="BE26" s="2">
        <v>8.3717168737379208E-2</v>
      </c>
      <c r="BF26" s="2">
        <v>7.0435317978319992E-2</v>
      </c>
      <c r="BG26" s="2">
        <v>0.1332491761754806</v>
      </c>
      <c r="BH26" s="2">
        <v>0.23256354138902929</v>
      </c>
      <c r="BI26" s="2">
        <v>0.44650249719346452</v>
      </c>
      <c r="BJ26" s="2">
        <v>8.5452688632763563E-2</v>
      </c>
    </row>
    <row r="27" spans="1:62" x14ac:dyDescent="0.25">
      <c r="A27" t="s">
        <v>107</v>
      </c>
      <c r="B27" t="s">
        <v>111</v>
      </c>
      <c r="C27" t="s">
        <v>115</v>
      </c>
      <c r="D27" t="s">
        <v>65</v>
      </c>
      <c r="F27" t="s">
        <v>116</v>
      </c>
      <c r="G27" t="s">
        <v>117</v>
      </c>
      <c r="H27">
        <v>274</v>
      </c>
      <c r="I27" s="2">
        <v>8.9708528022702516E-2</v>
      </c>
      <c r="J27" s="2">
        <v>0.28005631905527489</v>
      </c>
      <c r="K27" s="2">
        <v>0.43057194856672959</v>
      </c>
      <c r="L27" s="2">
        <v>0.3826336126744117</v>
      </c>
      <c r="M27" s="2">
        <v>0.38880862933835958</v>
      </c>
      <c r="N27" s="2">
        <v>0.57231220055135901</v>
      </c>
      <c r="O27" s="2">
        <v>0.69015684222596207</v>
      </c>
      <c r="P27" s="2">
        <v>1.217572293541537</v>
      </c>
      <c r="Q27" s="2">
        <v>0.20865090697056171</v>
      </c>
      <c r="R27" s="2">
        <v>2.923234509922186E-2</v>
      </c>
      <c r="S27" s="2">
        <v>0.1161547425696056</v>
      </c>
      <c r="T27" s="2">
        <v>0.25964032378055468</v>
      </c>
      <c r="U27" s="2">
        <v>0.18893394674093569</v>
      </c>
      <c r="V27" s="2">
        <v>0.18214927424820779</v>
      </c>
      <c r="W27" s="2">
        <v>0.28299965627184409</v>
      </c>
      <c r="X27" s="2">
        <v>0.51436903557855407</v>
      </c>
      <c r="Y27" s="2">
        <v>2.486907971759309</v>
      </c>
      <c r="Z27" s="2">
        <v>0.27975850136969932</v>
      </c>
      <c r="AA27" s="2">
        <v>4.3908996800200301E-3</v>
      </c>
      <c r="AB27" s="2">
        <v>9.5884452558776707E-3</v>
      </c>
      <c r="AC27" s="2">
        <v>1.8664360056467721E-2</v>
      </c>
      <c r="AD27" s="2">
        <v>1.548051761195901E-2</v>
      </c>
      <c r="AE27" s="2">
        <v>1.5809332337962039E-2</v>
      </c>
      <c r="AF27" s="2">
        <v>2.4169608248485758E-2</v>
      </c>
      <c r="AG27" s="2">
        <v>3.2259185012109289E-2</v>
      </c>
      <c r="AH27" s="2">
        <v>9.4590591498309173E-2</v>
      </c>
      <c r="AI27" s="2">
        <v>1.2625917563437989E-2</v>
      </c>
      <c r="AJ27" s="2">
        <v>6.581793068761734E-3</v>
      </c>
      <c r="AK27" s="2">
        <v>2.1109366953650531E-2</v>
      </c>
      <c r="AL27" s="2">
        <v>3.8470923599864967E-2</v>
      </c>
      <c r="AM27" s="2">
        <v>3.1126198298916549E-2</v>
      </c>
      <c r="AN27" s="2">
        <v>2.9225525528500471E-2</v>
      </c>
      <c r="AO27" s="2">
        <v>4.1952437119622668E-2</v>
      </c>
      <c r="AP27" s="2">
        <v>6.3319988334418709E-2</v>
      </c>
      <c r="AQ27" s="2">
        <v>0.32816782291992008</v>
      </c>
      <c r="AR27" s="2">
        <v>3.4664037071317599E-2</v>
      </c>
      <c r="AS27" s="2">
        <v>2.2718274582370909E-2</v>
      </c>
      <c r="AT27" s="2">
        <v>5.4534134448262189E-2</v>
      </c>
      <c r="AU27" s="2">
        <v>0.13528360030786021</v>
      </c>
      <c r="AV27" s="2">
        <v>9.7035850941911805E-2</v>
      </c>
      <c r="AW27" s="2">
        <v>9.1474267359327233E-2</v>
      </c>
      <c r="AX27" s="2">
        <v>0.14922212831707701</v>
      </c>
      <c r="AY27" s="2">
        <v>0.27767947788626718</v>
      </c>
      <c r="AZ27" s="2">
        <v>1.2899601350429399</v>
      </c>
      <c r="BA27" s="2">
        <v>0.15011496573098951</v>
      </c>
      <c r="BB27" s="2">
        <v>0.12786833071562331</v>
      </c>
      <c r="BC27" s="2">
        <v>0.36458076798106592</v>
      </c>
      <c r="BD27" s="2">
        <v>0.56348835446173273</v>
      </c>
      <c r="BE27" s="2">
        <v>0.49635272056044488</v>
      </c>
      <c r="BF27" s="2">
        <v>0.49283538983049169</v>
      </c>
      <c r="BG27" s="2">
        <v>0.68541907509846345</v>
      </c>
      <c r="BH27" s="2">
        <v>0.87447664499168887</v>
      </c>
      <c r="BI27" s="2">
        <v>2.6059286885868551</v>
      </c>
      <c r="BJ27" s="2">
        <v>0.31772381002534222</v>
      </c>
    </row>
  </sheetData>
  <autoFilter ref="A1:BJ27" xr:uid="{00000000-0001-0000-0000-000000000000}">
    <sortState xmlns:xlrd2="http://schemas.microsoft.com/office/spreadsheetml/2017/richdata2" ref="A2:BJ27">
      <sortCondition ref="C1:C2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3"/>
  <sheetViews>
    <sheetView tabSelected="1" workbookViewId="0">
      <pane ySplit="1" topLeftCell="A24" activePane="bottomLeft" state="frozen"/>
      <selection pane="bottomLeft" activeCell="O40" sqref="O40"/>
    </sheetView>
  </sheetViews>
  <sheetFormatPr baseColWidth="10" defaultColWidth="8.7109375" defaultRowHeight="19" x14ac:dyDescent="0.25"/>
  <cols>
    <col min="1" max="1" width="11.85546875" bestFit="1" customWidth="1"/>
    <col min="2" max="2" width="8.7109375" style="3"/>
    <col min="13" max="13" width="12.85546875" bestFit="1" customWidth="1"/>
    <col min="14" max="14" width="9.28515625" bestFit="1" customWidth="1"/>
  </cols>
  <sheetData>
    <row r="1" spans="1:19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N1" s="3" t="s">
        <v>166</v>
      </c>
      <c r="O1" s="3" t="s">
        <v>167</v>
      </c>
      <c r="P1" s="3" t="s">
        <v>168</v>
      </c>
      <c r="Q1" s="3" t="s">
        <v>169</v>
      </c>
      <c r="R1" s="3" t="s">
        <v>170</v>
      </c>
      <c r="S1" s="3" t="s">
        <v>171</v>
      </c>
    </row>
    <row r="2" spans="1:19" x14ac:dyDescent="0.25">
      <c r="A2" s="1" t="s">
        <v>165</v>
      </c>
      <c r="B2" s="3" t="s">
        <v>166</v>
      </c>
      <c r="C2" s="2">
        <v>1.675589448522519E-2</v>
      </c>
      <c r="D2" s="2">
        <v>8.2552746864651042E-2</v>
      </c>
      <c r="E2" s="2">
        <v>0.26116037483355792</v>
      </c>
      <c r="F2" s="2">
        <v>0.1651227248866185</v>
      </c>
      <c r="G2" s="2">
        <v>0.15099259889069111</v>
      </c>
      <c r="H2" s="2">
        <v>0.30946642786667838</v>
      </c>
      <c r="I2" s="2">
        <v>0.60772458507843918</v>
      </c>
      <c r="J2" s="2">
        <v>6.4500908435463149</v>
      </c>
      <c r="K2" s="2">
        <v>0.31571172109102008</v>
      </c>
      <c r="M2" t="s">
        <v>165</v>
      </c>
      <c r="N2">
        <v>0.26116037483355792</v>
      </c>
      <c r="O2">
        <v>0.96357453447944152</v>
      </c>
      <c r="P2">
        <v>0.1030583742442371</v>
      </c>
      <c r="Q2">
        <v>9.3572821562167591E-2</v>
      </c>
      <c r="R2">
        <v>0.50873642784357809</v>
      </c>
      <c r="S2">
        <v>1.1958567004581231</v>
      </c>
    </row>
    <row r="3" spans="1:19" x14ac:dyDescent="0.25">
      <c r="A3" s="1" t="s">
        <v>165</v>
      </c>
      <c r="B3" s="3" t="s">
        <v>167</v>
      </c>
      <c r="C3" s="2">
        <v>1.5411035007422439E-2</v>
      </c>
      <c r="D3" s="2">
        <v>0.26216553412058208</v>
      </c>
      <c r="E3" s="2">
        <v>0.96357453447944152</v>
      </c>
      <c r="F3" s="2">
        <v>0.54775047905134566</v>
      </c>
      <c r="G3" s="2">
        <v>0.65759697655391147</v>
      </c>
      <c r="H3" s="2">
        <v>1.3033006148661701</v>
      </c>
      <c r="I3" s="2">
        <v>2.1775053401475719</v>
      </c>
      <c r="J3" s="2">
        <v>14.17813374037641</v>
      </c>
      <c r="K3" s="2">
        <v>1.030052941995222</v>
      </c>
      <c r="M3" t="s">
        <v>176</v>
      </c>
      <c r="N3">
        <v>9.4351844211308392E-2</v>
      </c>
      <c r="O3">
        <v>0.27723595148011448</v>
      </c>
      <c r="P3">
        <v>2.4953611768773601E-2</v>
      </c>
      <c r="Q3">
        <v>3.2960602422155288E-2</v>
      </c>
      <c r="R3">
        <v>9.0333781746649397E-2</v>
      </c>
      <c r="S3">
        <v>0.33255128116017812</v>
      </c>
    </row>
    <row r="4" spans="1:19" x14ac:dyDescent="0.25">
      <c r="A4" s="1" t="s">
        <v>165</v>
      </c>
      <c r="B4" s="3" t="s">
        <v>168</v>
      </c>
      <c r="C4" s="2">
        <v>4.2485291572496014E-3</v>
      </c>
      <c r="D4" s="2">
        <v>2.475686554561279E-2</v>
      </c>
      <c r="E4" s="2">
        <v>0.1030583742442371</v>
      </c>
      <c r="F4" s="2">
        <v>5.5685787523773247E-2</v>
      </c>
      <c r="G4" s="2">
        <v>5.5433921954032052E-2</v>
      </c>
      <c r="H4" s="2">
        <v>0.12629878775907011</v>
      </c>
      <c r="I4" s="2">
        <v>0.25065655774311818</v>
      </c>
      <c r="J4" s="2">
        <v>2.3293497826646821</v>
      </c>
      <c r="K4" s="2">
        <v>0.13677870331919539</v>
      </c>
      <c r="M4" t="s">
        <v>174</v>
      </c>
      <c r="N4">
        <v>0.28706861881245432</v>
      </c>
      <c r="O4">
        <v>0.77427784448192938</v>
      </c>
      <c r="P4">
        <v>7.923147210871842E-2</v>
      </c>
      <c r="Q4">
        <v>9.5325958417659909E-2</v>
      </c>
      <c r="R4">
        <v>0.45194735570840661</v>
      </c>
      <c r="S4">
        <v>1.021471153091847</v>
      </c>
    </row>
    <row r="5" spans="1:19" x14ac:dyDescent="0.25">
      <c r="A5" s="1" t="s">
        <v>165</v>
      </c>
      <c r="B5" s="3" t="s">
        <v>169</v>
      </c>
      <c r="C5" s="2">
        <v>6.581793068761734E-3</v>
      </c>
      <c r="D5" s="2">
        <v>3.5492992150276827E-2</v>
      </c>
      <c r="E5" s="2">
        <v>9.3572821562167591E-2</v>
      </c>
      <c r="F5" s="2">
        <v>6.2447865028668177E-2</v>
      </c>
      <c r="G5" s="2">
        <v>6.6905007216288559E-2</v>
      </c>
      <c r="H5" s="2">
        <v>0.1221983415592474</v>
      </c>
      <c r="I5" s="2">
        <v>0.19943012783376821</v>
      </c>
      <c r="J5" s="2">
        <v>4.0874348312847761</v>
      </c>
      <c r="K5" s="2">
        <v>0.1024888351595738</v>
      </c>
      <c r="M5" t="s">
        <v>173</v>
      </c>
      <c r="N5">
        <v>0.18668734155306971</v>
      </c>
      <c r="O5">
        <v>0.77925351270637488</v>
      </c>
      <c r="P5">
        <v>6.8239898109634101E-2</v>
      </c>
      <c r="Q5">
        <v>8.8277862861027359E-2</v>
      </c>
      <c r="R5">
        <v>0.40671300096749252</v>
      </c>
      <c r="S5">
        <v>0.944803189056592</v>
      </c>
    </row>
    <row r="6" spans="1:19" x14ac:dyDescent="0.25">
      <c r="A6" s="1" t="s">
        <v>165</v>
      </c>
      <c r="B6" s="3" t="s">
        <v>170</v>
      </c>
      <c r="C6" s="2">
        <v>6.3592452382338583E-3</v>
      </c>
      <c r="D6" s="2">
        <v>0.12766380133505281</v>
      </c>
      <c r="E6" s="2">
        <v>0.50873642784357809</v>
      </c>
      <c r="F6" s="2">
        <v>0.27249753804547738</v>
      </c>
      <c r="G6" s="2">
        <v>0.31647225638822829</v>
      </c>
      <c r="H6" s="2">
        <v>0.66700077115437939</v>
      </c>
      <c r="I6" s="2">
        <v>1.1628776716074669</v>
      </c>
      <c r="J6" s="2">
        <v>19.027345818321589</v>
      </c>
      <c r="K6" s="2">
        <v>0.63846706202006254</v>
      </c>
      <c r="M6" t="s">
        <v>175</v>
      </c>
      <c r="N6">
        <v>0.24858673557201569</v>
      </c>
      <c r="O6">
        <v>0.97533273879012772</v>
      </c>
      <c r="P6">
        <v>4.2283505206199702E-2</v>
      </c>
      <c r="Q6">
        <v>9.4763990543571874E-2</v>
      </c>
      <c r="R6">
        <v>0.4488396785446781</v>
      </c>
      <c r="S6">
        <v>1.2125252173907191</v>
      </c>
    </row>
    <row r="7" spans="1:19" x14ac:dyDescent="0.25">
      <c r="A7" s="1" t="s">
        <v>165</v>
      </c>
      <c r="B7" s="3" t="s">
        <v>171</v>
      </c>
      <c r="C7" s="2">
        <v>3.3498507429436317E-2</v>
      </c>
      <c r="D7" s="2">
        <v>0.3971358988045216</v>
      </c>
      <c r="E7" s="2">
        <v>1.1958567004581231</v>
      </c>
      <c r="F7" s="2">
        <v>0.75132917981721703</v>
      </c>
      <c r="G7" s="2">
        <v>0.83632225763870305</v>
      </c>
      <c r="H7" s="2">
        <v>1.573424809991683</v>
      </c>
      <c r="I7" s="2">
        <v>2.6747011427545471</v>
      </c>
      <c r="J7" s="2">
        <v>19.587580334997991</v>
      </c>
      <c r="K7" s="2">
        <v>1.2009626351964739</v>
      </c>
      <c r="M7" t="s">
        <v>172</v>
      </c>
      <c r="N7">
        <v>0.34947157097705212</v>
      </c>
      <c r="O7">
        <v>1.424727110502203</v>
      </c>
      <c r="P7">
        <v>0.18701700833618831</v>
      </c>
      <c r="Q7">
        <v>0.1153158962248399</v>
      </c>
      <c r="R7">
        <v>0.76804830705637295</v>
      </c>
      <c r="S7">
        <v>1.7451198417656431</v>
      </c>
    </row>
    <row r="8" spans="1:19" x14ac:dyDescent="0.25">
      <c r="A8" s="1"/>
    </row>
    <row r="9" spans="1:19" x14ac:dyDescent="0.25">
      <c r="A9" s="1" t="s">
        <v>172</v>
      </c>
      <c r="B9" s="3" t="s">
        <v>166</v>
      </c>
      <c r="C9" s="2">
        <v>2.5241236102853601E-2</v>
      </c>
      <c r="D9" s="2">
        <v>0.1342134865372599</v>
      </c>
      <c r="E9" s="2">
        <v>0.34947157097705212</v>
      </c>
      <c r="F9" s="2">
        <v>0.23506512611813571</v>
      </c>
      <c r="G9" s="2">
        <v>0.21575591531219229</v>
      </c>
      <c r="H9" s="2">
        <v>0.43336180364162591</v>
      </c>
      <c r="I9" s="2">
        <v>0.79447517273313195</v>
      </c>
      <c r="J9" s="2">
        <v>6.4500908435463149</v>
      </c>
      <c r="K9" s="2">
        <v>0.3823673717412906</v>
      </c>
    </row>
    <row r="10" spans="1:19" x14ac:dyDescent="0.25">
      <c r="A10" s="1" t="s">
        <v>172</v>
      </c>
      <c r="B10" s="3" t="s">
        <v>167</v>
      </c>
      <c r="C10" s="2">
        <v>0.14516091071634951</v>
      </c>
      <c r="D10" s="2">
        <v>0.66318013740985693</v>
      </c>
      <c r="E10" s="2">
        <v>1.424727110502203</v>
      </c>
      <c r="F10" s="2">
        <v>1.0960603564020719</v>
      </c>
      <c r="G10" s="2">
        <v>1.1439204663340219</v>
      </c>
      <c r="H10" s="2">
        <v>1.8385144266073881</v>
      </c>
      <c r="I10" s="2">
        <v>2.617343770626487</v>
      </c>
      <c r="J10" s="2">
        <v>14.17813374037641</v>
      </c>
      <c r="K10" s="2">
        <v>1.1750493844575971</v>
      </c>
    </row>
    <row r="11" spans="1:19" x14ac:dyDescent="0.25">
      <c r="A11" s="1" t="s">
        <v>172</v>
      </c>
      <c r="B11" s="3" t="s">
        <v>168</v>
      </c>
      <c r="C11" s="2">
        <v>1.1249444430726349E-2</v>
      </c>
      <c r="D11" s="2">
        <v>6.9651721025455512E-2</v>
      </c>
      <c r="E11" s="2">
        <v>0.18701700833618831</v>
      </c>
      <c r="F11" s="2">
        <v>0.1298205739344423</v>
      </c>
      <c r="G11" s="2">
        <v>0.13075853271079199</v>
      </c>
      <c r="H11" s="2">
        <v>0.2428041645058325</v>
      </c>
      <c r="I11" s="2">
        <v>0.39139804553963459</v>
      </c>
      <c r="J11" s="2">
        <v>2.3293497826646821</v>
      </c>
      <c r="K11" s="2">
        <v>0.184730824671755</v>
      </c>
    </row>
    <row r="12" spans="1:19" x14ac:dyDescent="0.25">
      <c r="A12" s="1" t="s">
        <v>172</v>
      </c>
      <c r="B12" s="3" t="s">
        <v>169</v>
      </c>
      <c r="C12" s="2">
        <v>6.581793068761734E-3</v>
      </c>
      <c r="D12" s="2">
        <v>5.0896138461930619E-2</v>
      </c>
      <c r="E12" s="2">
        <v>0.1153158962248399</v>
      </c>
      <c r="F12" s="2">
        <v>8.4041276770958351E-2</v>
      </c>
      <c r="G12" s="2">
        <v>8.6105890775548449E-2</v>
      </c>
      <c r="H12" s="2">
        <v>0.15274780473890179</v>
      </c>
      <c r="I12" s="2">
        <v>0.22971533329167329</v>
      </c>
      <c r="J12" s="2">
        <v>1.3170999468529341</v>
      </c>
      <c r="K12" s="2">
        <v>0.1007150078977511</v>
      </c>
    </row>
    <row r="13" spans="1:19" x14ac:dyDescent="0.25">
      <c r="A13" s="1" t="s">
        <v>172</v>
      </c>
      <c r="B13" s="3" t="s">
        <v>170</v>
      </c>
      <c r="C13" s="2">
        <v>4.6653831568264567E-2</v>
      </c>
      <c r="D13" s="2">
        <v>0.25430769087055338</v>
      </c>
      <c r="E13" s="2">
        <v>0.76804830705637295</v>
      </c>
      <c r="F13" s="2">
        <v>0.49973420195211582</v>
      </c>
      <c r="G13" s="2">
        <v>0.51467253270329605</v>
      </c>
      <c r="H13" s="2">
        <v>0.99843363654350625</v>
      </c>
      <c r="I13" s="2">
        <v>1.6589012819593709</v>
      </c>
      <c r="J13" s="2">
        <v>19.027345818321589</v>
      </c>
      <c r="K13" s="2">
        <v>0.85819583896386453</v>
      </c>
    </row>
    <row r="14" spans="1:19" x14ac:dyDescent="0.25">
      <c r="A14" s="1" t="s">
        <v>172</v>
      </c>
      <c r="B14" s="3" t="s">
        <v>171</v>
      </c>
      <c r="C14" s="2">
        <v>0.2031588541019072</v>
      </c>
      <c r="D14" s="2">
        <v>0.79399398768161067</v>
      </c>
      <c r="E14" s="2">
        <v>1.7451198417656431</v>
      </c>
      <c r="F14" s="2">
        <v>1.339259115020538</v>
      </c>
      <c r="G14" s="2">
        <v>1.357148438994642</v>
      </c>
      <c r="H14" s="2">
        <v>2.299137642302628</v>
      </c>
      <c r="I14" s="2">
        <v>3.388104134461932</v>
      </c>
      <c r="J14" s="2">
        <v>19.587580334997991</v>
      </c>
      <c r="K14" s="2">
        <v>1.432591123437372</v>
      </c>
    </row>
    <row r="15" spans="1:19" x14ac:dyDescent="0.25">
      <c r="A15" s="1"/>
    </row>
    <row r="16" spans="1:19" x14ac:dyDescent="0.25">
      <c r="A16" s="1" t="s">
        <v>173</v>
      </c>
      <c r="B16" s="3" t="s">
        <v>166</v>
      </c>
      <c r="C16" s="2">
        <v>2.8369525903687569E-2</v>
      </c>
      <c r="D16" s="2">
        <v>7.8604261970964387E-2</v>
      </c>
      <c r="E16" s="2">
        <v>0.18668734155306971</v>
      </c>
      <c r="F16" s="2">
        <v>0.13332296691944351</v>
      </c>
      <c r="G16" s="2">
        <v>0.117800848893376</v>
      </c>
      <c r="H16" s="2">
        <v>0.19854498230879569</v>
      </c>
      <c r="I16" s="2">
        <v>0.39765672382093581</v>
      </c>
      <c r="J16" s="2">
        <v>2.551152545419423</v>
      </c>
      <c r="K16" s="2">
        <v>0.2165686390864516</v>
      </c>
    </row>
    <row r="17" spans="1:11" x14ac:dyDescent="0.25">
      <c r="A17" s="1" t="s">
        <v>173</v>
      </c>
      <c r="B17" s="3" t="s">
        <v>167</v>
      </c>
      <c r="C17" s="2">
        <v>3.1784587459962418E-2</v>
      </c>
      <c r="D17" s="2">
        <v>0.1760176979738117</v>
      </c>
      <c r="E17" s="2">
        <v>0.77925351270637488</v>
      </c>
      <c r="F17" s="2">
        <v>0.41916883302079139</v>
      </c>
      <c r="G17" s="2">
        <v>0.42517342344036507</v>
      </c>
      <c r="H17" s="2">
        <v>1.0068211708143611</v>
      </c>
      <c r="I17" s="2">
        <v>2.0015064451557478</v>
      </c>
      <c r="J17" s="2">
        <v>5.9283867645422728</v>
      </c>
      <c r="K17" s="2">
        <v>0.91169062975916004</v>
      </c>
    </row>
    <row r="18" spans="1:11" x14ac:dyDescent="0.25">
      <c r="A18" s="1" t="s">
        <v>173</v>
      </c>
      <c r="B18" s="3" t="s">
        <v>168</v>
      </c>
      <c r="C18" s="2">
        <v>5.8137767414994544E-3</v>
      </c>
      <c r="D18" s="2">
        <v>2.121296773202656E-2</v>
      </c>
      <c r="E18" s="2">
        <v>6.8239898109634101E-2</v>
      </c>
      <c r="F18" s="2">
        <v>4.2349649747225417E-2</v>
      </c>
      <c r="G18" s="2">
        <v>3.4403488195239737E-2</v>
      </c>
      <c r="H18" s="2">
        <v>7.5786938188582328E-2</v>
      </c>
      <c r="I18" s="2">
        <v>0.17249936231766189</v>
      </c>
      <c r="J18" s="2">
        <v>0.91316334792850729</v>
      </c>
      <c r="K18" s="2">
        <v>8.6078526615793974E-2</v>
      </c>
    </row>
    <row r="19" spans="1:11" x14ac:dyDescent="0.25">
      <c r="A19" s="1" t="s">
        <v>173</v>
      </c>
      <c r="B19" s="3" t="s">
        <v>169</v>
      </c>
      <c r="C19" s="2">
        <v>6.581793068761734E-3</v>
      </c>
      <c r="D19" s="2">
        <v>3.1554239017919608E-2</v>
      </c>
      <c r="E19" s="2">
        <v>8.8277862861027359E-2</v>
      </c>
      <c r="F19" s="2">
        <v>5.9224979073500689E-2</v>
      </c>
      <c r="G19" s="2">
        <v>6.1941746827160103E-2</v>
      </c>
      <c r="H19" s="2">
        <v>0.11631315488800049</v>
      </c>
      <c r="I19" s="2">
        <v>0.19809687024281841</v>
      </c>
      <c r="J19" s="2">
        <v>0.78142540910825298</v>
      </c>
      <c r="K19" s="2">
        <v>8.6797565946866509E-2</v>
      </c>
    </row>
    <row r="20" spans="1:11" x14ac:dyDescent="0.25">
      <c r="A20" s="1" t="s">
        <v>173</v>
      </c>
      <c r="B20" s="3" t="s">
        <v>170</v>
      </c>
      <c r="C20" s="2">
        <v>9.5545800535659347E-3</v>
      </c>
      <c r="D20" s="2">
        <v>0.1282597364725189</v>
      </c>
      <c r="E20" s="2">
        <v>0.40671300096749252</v>
      </c>
      <c r="F20" s="2">
        <v>0.25416552119421681</v>
      </c>
      <c r="G20" s="2">
        <v>0.26397973407062902</v>
      </c>
      <c r="H20" s="2">
        <v>0.56423095448583815</v>
      </c>
      <c r="I20" s="2">
        <v>0.93116296103313723</v>
      </c>
      <c r="J20" s="2">
        <v>5.3272042404998894</v>
      </c>
      <c r="K20" s="2">
        <v>0.42351779744787371</v>
      </c>
    </row>
    <row r="21" spans="1:11" x14ac:dyDescent="0.25">
      <c r="A21" s="1" t="s">
        <v>173</v>
      </c>
      <c r="B21" s="3" t="s">
        <v>171</v>
      </c>
      <c r="C21" s="2">
        <v>8.2821072197841086E-2</v>
      </c>
      <c r="D21" s="2">
        <v>0.26911085076599939</v>
      </c>
      <c r="E21" s="2">
        <v>0.944803189056592</v>
      </c>
      <c r="F21" s="2">
        <v>0.59155729908684129</v>
      </c>
      <c r="G21" s="2">
        <v>0.57151944848797576</v>
      </c>
      <c r="H21" s="2">
        <v>1.210657185168452</v>
      </c>
      <c r="I21" s="2">
        <v>2.346111987949425</v>
      </c>
      <c r="J21" s="2">
        <v>6.211870620030651</v>
      </c>
      <c r="K21" s="2">
        <v>0.99982241945154104</v>
      </c>
    </row>
    <row r="22" spans="1:11" x14ac:dyDescent="0.25">
      <c r="A22" s="1"/>
    </row>
    <row r="23" spans="1:11" x14ac:dyDescent="0.25">
      <c r="A23" s="1" t="s">
        <v>174</v>
      </c>
      <c r="B23" s="3" t="s">
        <v>166</v>
      </c>
      <c r="C23" s="2">
        <v>2.436062396573618E-2</v>
      </c>
      <c r="D23" s="2">
        <v>9.4291773617400973E-2</v>
      </c>
      <c r="E23" s="2">
        <v>0.28706861881245432</v>
      </c>
      <c r="F23" s="2">
        <v>0.1872821756114304</v>
      </c>
      <c r="G23" s="2">
        <v>0.1738071632585953</v>
      </c>
      <c r="H23" s="2">
        <v>0.35598630852874719</v>
      </c>
      <c r="I23" s="2">
        <v>0.6591230449378005</v>
      </c>
      <c r="J23" s="2">
        <v>3.2508584450880051</v>
      </c>
      <c r="K23" s="2">
        <v>0.31341636836890918</v>
      </c>
    </row>
    <row r="24" spans="1:11" x14ac:dyDescent="0.25">
      <c r="A24" s="1" t="s">
        <v>174</v>
      </c>
      <c r="B24" s="3" t="s">
        <v>167</v>
      </c>
      <c r="C24" s="2">
        <v>6.1822730447627428E-2</v>
      </c>
      <c r="D24" s="2">
        <v>0.26259833531163551</v>
      </c>
      <c r="E24" s="2">
        <v>0.77427784448192938</v>
      </c>
      <c r="F24" s="2">
        <v>0.52400359783510686</v>
      </c>
      <c r="G24" s="2">
        <v>0.56570808726762956</v>
      </c>
      <c r="H24" s="2">
        <v>1.048427930479418</v>
      </c>
      <c r="I24" s="2">
        <v>1.714682821256367</v>
      </c>
      <c r="J24" s="2">
        <v>5.6359171880005476</v>
      </c>
      <c r="K24" s="2">
        <v>0.70555918298045561</v>
      </c>
    </row>
    <row r="25" spans="1:11" x14ac:dyDescent="0.25">
      <c r="A25" s="1" t="s">
        <v>174</v>
      </c>
      <c r="B25" s="3" t="s">
        <v>168</v>
      </c>
      <c r="C25" s="2">
        <v>5.3037722424704482E-3</v>
      </c>
      <c r="D25" s="2">
        <v>3.402686842955828E-2</v>
      </c>
      <c r="E25" s="2">
        <v>7.923147210871842E-2</v>
      </c>
      <c r="F25" s="2">
        <v>5.6574478614937827E-2</v>
      </c>
      <c r="G25" s="2">
        <v>5.6402748159996602E-2</v>
      </c>
      <c r="H25" s="2">
        <v>9.550950495130997E-2</v>
      </c>
      <c r="I25" s="2">
        <v>0.1673067904745279</v>
      </c>
      <c r="J25" s="2">
        <v>0.63452137867844927</v>
      </c>
      <c r="K25" s="2">
        <v>7.4971551543144749E-2</v>
      </c>
    </row>
    <row r="26" spans="1:11" x14ac:dyDescent="0.25">
      <c r="A26" s="1" t="s">
        <v>174</v>
      </c>
      <c r="B26" s="3" t="s">
        <v>169</v>
      </c>
      <c r="C26" s="2">
        <v>6.581793068761734E-3</v>
      </c>
      <c r="D26" s="2">
        <v>4.5451382161676657E-2</v>
      </c>
      <c r="E26" s="2">
        <v>9.5325958417659909E-2</v>
      </c>
      <c r="F26" s="2">
        <v>6.9376601822800824E-2</v>
      </c>
      <c r="G26" s="2">
        <v>7.6621602697933708E-2</v>
      </c>
      <c r="H26" s="2">
        <v>0.1220215242429044</v>
      </c>
      <c r="I26" s="2">
        <v>0.1724397340647906</v>
      </c>
      <c r="J26" s="2">
        <v>4.0874348312847761</v>
      </c>
      <c r="K26" s="2">
        <v>0.1255262025723283</v>
      </c>
    </row>
    <row r="27" spans="1:11" x14ac:dyDescent="0.25">
      <c r="A27" s="1" t="s">
        <v>174</v>
      </c>
      <c r="B27" s="3" t="s">
        <v>170</v>
      </c>
      <c r="C27" s="2">
        <v>4.6736816322894739E-2</v>
      </c>
      <c r="D27" s="2">
        <v>0.15957524833349079</v>
      </c>
      <c r="E27" s="2">
        <v>0.45194735570840661</v>
      </c>
      <c r="F27" s="2">
        <v>0.3137270841825674</v>
      </c>
      <c r="G27" s="2">
        <v>0.33710783141303619</v>
      </c>
      <c r="H27" s="2">
        <v>0.60435817952703252</v>
      </c>
      <c r="I27" s="2">
        <v>0.92352375474804693</v>
      </c>
      <c r="J27" s="2">
        <v>4.1215217650765839</v>
      </c>
      <c r="K27" s="2">
        <v>0.42022999436606118</v>
      </c>
    </row>
    <row r="28" spans="1:11" x14ac:dyDescent="0.25">
      <c r="A28" s="1" t="s">
        <v>174</v>
      </c>
      <c r="B28" s="3" t="s">
        <v>171</v>
      </c>
      <c r="C28" s="2">
        <v>0.11948481075015351</v>
      </c>
      <c r="D28" s="2">
        <v>0.44837213687017058</v>
      </c>
      <c r="E28" s="2">
        <v>1.021471153091847</v>
      </c>
      <c r="F28" s="2">
        <v>0.76204588857878519</v>
      </c>
      <c r="G28" s="2">
        <v>0.82066769157802277</v>
      </c>
      <c r="H28" s="2">
        <v>1.3582344227432119</v>
      </c>
      <c r="I28" s="2">
        <v>2.0357361522922131</v>
      </c>
      <c r="J28" s="2">
        <v>6.5558421983754309</v>
      </c>
      <c r="K28" s="2">
        <v>0.80750199567298309</v>
      </c>
    </row>
    <row r="29" spans="1:11" x14ac:dyDescent="0.25">
      <c r="A29" s="1"/>
    </row>
    <row r="30" spans="1:11" x14ac:dyDescent="0.25">
      <c r="A30" s="1" t="s">
        <v>175</v>
      </c>
      <c r="B30" s="3" t="s">
        <v>166</v>
      </c>
      <c r="C30" s="2">
        <v>2.445833191368537E-2</v>
      </c>
      <c r="D30" s="2">
        <v>8.6291946321774435E-2</v>
      </c>
      <c r="E30" s="2">
        <v>0.24858673557201569</v>
      </c>
      <c r="F30" s="2">
        <v>0.17213836690826689</v>
      </c>
      <c r="G30" s="2">
        <v>0.15519867911809049</v>
      </c>
      <c r="H30" s="2">
        <v>0.35022768308630309</v>
      </c>
      <c r="I30" s="2">
        <v>0.57671297261307464</v>
      </c>
      <c r="J30" s="2">
        <v>1.7644365672928</v>
      </c>
      <c r="K30" s="2">
        <v>0.2304819426025356</v>
      </c>
    </row>
    <row r="31" spans="1:11" x14ac:dyDescent="0.25">
      <c r="A31" s="1" t="s">
        <v>175</v>
      </c>
      <c r="B31" s="3" t="s">
        <v>167</v>
      </c>
      <c r="C31" s="2">
        <v>2.923234509922186E-2</v>
      </c>
      <c r="D31" s="2">
        <v>0.25862726074410641</v>
      </c>
      <c r="E31" s="2">
        <v>0.97533273879012772</v>
      </c>
      <c r="F31" s="2">
        <v>0.57266512188895546</v>
      </c>
      <c r="G31" s="2">
        <v>0.62777324727962081</v>
      </c>
      <c r="H31" s="2">
        <v>1.2325320726050091</v>
      </c>
      <c r="I31" s="2">
        <v>2.3682900499165531</v>
      </c>
      <c r="J31" s="2">
        <v>8.2942409339251775</v>
      </c>
      <c r="K31" s="2">
        <v>1.08167966663021</v>
      </c>
    </row>
    <row r="32" spans="1:11" x14ac:dyDescent="0.25">
      <c r="A32" s="1" t="s">
        <v>175</v>
      </c>
      <c r="B32" s="3" t="s">
        <v>168</v>
      </c>
      <c r="C32" s="2">
        <v>4.3908996800200301E-3</v>
      </c>
      <c r="D32" s="2">
        <v>1.7663238661128941E-2</v>
      </c>
      <c r="E32" s="2">
        <v>4.2283505206199702E-2</v>
      </c>
      <c r="F32" s="2">
        <v>2.9702274092922341E-2</v>
      </c>
      <c r="G32" s="2">
        <v>2.8195035023918659E-2</v>
      </c>
      <c r="H32" s="2">
        <v>4.6719910102653243E-2</v>
      </c>
      <c r="I32" s="2">
        <v>8.8970238340237442E-2</v>
      </c>
      <c r="J32" s="2">
        <v>0.44017974737600091</v>
      </c>
      <c r="K32" s="2">
        <v>4.5425286836476883E-2</v>
      </c>
    </row>
    <row r="33" spans="1:19" x14ac:dyDescent="0.25">
      <c r="A33" s="1" t="s">
        <v>175</v>
      </c>
      <c r="B33" s="3" t="s">
        <v>169</v>
      </c>
      <c r="C33" s="2">
        <v>6.581793068761734E-3</v>
      </c>
      <c r="D33" s="2">
        <v>3.5750804186759209E-2</v>
      </c>
      <c r="E33" s="2">
        <v>9.4763990543571874E-2</v>
      </c>
      <c r="F33" s="2">
        <v>6.4952852324033125E-2</v>
      </c>
      <c r="G33" s="2">
        <v>6.1012703595234967E-2</v>
      </c>
      <c r="H33" s="2">
        <v>0.11741396850460339</v>
      </c>
      <c r="I33" s="2">
        <v>0.20185700983843899</v>
      </c>
      <c r="J33" s="2">
        <v>1.0388228241620421</v>
      </c>
      <c r="K33" s="2">
        <v>0.1011684992221811</v>
      </c>
    </row>
    <row r="34" spans="1:19" x14ac:dyDescent="0.25">
      <c r="A34" s="1" t="s">
        <v>175</v>
      </c>
      <c r="B34" s="3" t="s">
        <v>170</v>
      </c>
      <c r="C34" s="2">
        <v>2.2718274582370909E-2</v>
      </c>
      <c r="D34" s="2">
        <v>9.9489044623013626E-2</v>
      </c>
      <c r="E34" s="2">
        <v>0.4488396785446781</v>
      </c>
      <c r="F34" s="2">
        <v>0.25248595142551</v>
      </c>
      <c r="G34" s="2">
        <v>0.26098220245832848</v>
      </c>
      <c r="H34" s="2">
        <v>0.59588759007047631</v>
      </c>
      <c r="I34" s="2">
        <v>1.0696751625633469</v>
      </c>
      <c r="J34" s="2">
        <v>4.5975522465764316</v>
      </c>
      <c r="K34" s="2">
        <v>0.53585691417992465</v>
      </c>
    </row>
    <row r="35" spans="1:19" x14ac:dyDescent="0.25">
      <c r="A35" s="1" t="s">
        <v>175</v>
      </c>
      <c r="B35" s="3" t="s">
        <v>171</v>
      </c>
      <c r="C35" s="2">
        <v>0.12786833071562331</v>
      </c>
      <c r="D35" s="2">
        <v>0.48684224344236993</v>
      </c>
      <c r="E35" s="2">
        <v>1.2125252173907191</v>
      </c>
      <c r="F35" s="2">
        <v>0.87420051209527294</v>
      </c>
      <c r="G35" s="2">
        <v>0.8127854883054938</v>
      </c>
      <c r="H35" s="2">
        <v>1.4706911096487929</v>
      </c>
      <c r="I35" s="2">
        <v>2.7140193275321258</v>
      </c>
      <c r="J35" s="2">
        <v>8.3477927879170526</v>
      </c>
      <c r="K35" s="2">
        <v>1.1302139587910069</v>
      </c>
    </row>
    <row r="36" spans="1:19" x14ac:dyDescent="0.25">
      <c r="A36" s="1"/>
    </row>
    <row r="37" spans="1:19" x14ac:dyDescent="0.25">
      <c r="A37" s="1" t="s">
        <v>176</v>
      </c>
      <c r="B37" s="3" t="s">
        <v>166</v>
      </c>
      <c r="C37" s="2">
        <v>1.675589448522519E-2</v>
      </c>
      <c r="D37" s="2">
        <v>3.910294106585846E-2</v>
      </c>
      <c r="E37" s="2">
        <v>9.4351844211308392E-2</v>
      </c>
      <c r="F37" s="2">
        <v>6.2990124083632484E-2</v>
      </c>
      <c r="G37" s="2">
        <v>5.7572910296423273E-2</v>
      </c>
      <c r="H37" s="2">
        <v>8.2451925386858013E-2</v>
      </c>
      <c r="I37" s="2">
        <v>0.1360352631909145</v>
      </c>
      <c r="J37" s="2">
        <v>4.7076399511857323</v>
      </c>
      <c r="K37" s="2">
        <v>0.2141224877848367</v>
      </c>
    </row>
    <row r="38" spans="1:19" x14ac:dyDescent="0.25">
      <c r="A38" s="1" t="s">
        <v>176</v>
      </c>
      <c r="B38" s="3" t="s">
        <v>167</v>
      </c>
      <c r="C38" s="2">
        <v>1.5411035007422439E-2</v>
      </c>
      <c r="D38" s="2">
        <v>4.2976737893888603E-2</v>
      </c>
      <c r="E38" s="2">
        <v>0.27723595148011448</v>
      </c>
      <c r="F38" s="2">
        <v>0.1154253997148191</v>
      </c>
      <c r="G38" s="2">
        <v>9.2001902154248957E-2</v>
      </c>
      <c r="H38" s="2">
        <v>0.28797076240479702</v>
      </c>
      <c r="I38" s="2">
        <v>0.68418064434094805</v>
      </c>
      <c r="J38" s="2">
        <v>6.0750427504668636</v>
      </c>
      <c r="K38" s="2">
        <v>0.53389316476465054</v>
      </c>
    </row>
    <row r="39" spans="1:19" x14ac:dyDescent="0.25">
      <c r="A39" s="1" t="s">
        <v>176</v>
      </c>
      <c r="B39" s="3" t="s">
        <v>168</v>
      </c>
      <c r="C39" s="2">
        <v>4.2485291572496014E-3</v>
      </c>
      <c r="D39" s="2">
        <v>5.8651513194460719E-3</v>
      </c>
      <c r="E39" s="2">
        <v>2.4953611768773601E-2</v>
      </c>
      <c r="F39" s="2">
        <v>1.339773292890176E-2</v>
      </c>
      <c r="G39" s="2">
        <v>1.161593732765462E-2</v>
      </c>
      <c r="H39" s="2">
        <v>2.2974768769239009E-2</v>
      </c>
      <c r="I39" s="2">
        <v>5.0946721286693392E-2</v>
      </c>
      <c r="J39" s="2">
        <v>0.33857706655944669</v>
      </c>
      <c r="K39" s="2">
        <v>4.4269152706315762E-2</v>
      </c>
    </row>
    <row r="40" spans="1:19" x14ac:dyDescent="0.25">
      <c r="A40" s="1" t="s">
        <v>176</v>
      </c>
      <c r="B40" s="3" t="s">
        <v>169</v>
      </c>
      <c r="C40" s="2">
        <v>6.581793068761734E-3</v>
      </c>
      <c r="D40" s="2">
        <v>8.0442526066751546E-3</v>
      </c>
      <c r="E40" s="2">
        <v>3.2960602422155288E-2</v>
      </c>
      <c r="F40" s="2">
        <v>2.1857620561610201E-2</v>
      </c>
      <c r="G40" s="2">
        <v>2.35584379787795E-2</v>
      </c>
      <c r="H40" s="2">
        <v>4.1427044306829343E-2</v>
      </c>
      <c r="I40" s="2">
        <v>6.6185770632883958E-2</v>
      </c>
      <c r="J40" s="2">
        <v>0.64824404355150067</v>
      </c>
      <c r="K40" s="2">
        <v>4.2697785135512298E-2</v>
      </c>
    </row>
    <row r="41" spans="1:19" x14ac:dyDescent="0.25">
      <c r="A41" s="1" t="s">
        <v>176</v>
      </c>
      <c r="B41" s="3" t="s">
        <v>170</v>
      </c>
      <c r="C41" s="2">
        <v>6.3592452382338583E-3</v>
      </c>
      <c r="D41" s="2">
        <v>1.3688316185711079E-2</v>
      </c>
      <c r="E41" s="2">
        <v>9.0333781746649397E-2</v>
      </c>
      <c r="F41" s="2">
        <v>4.0564583441324333E-2</v>
      </c>
      <c r="G41" s="2">
        <v>3.6591255786048132E-2</v>
      </c>
      <c r="H41" s="2">
        <v>0.11930205362859431</v>
      </c>
      <c r="I41" s="2">
        <v>0.22211094615139121</v>
      </c>
      <c r="J41" s="2">
        <v>1.3920433075159691</v>
      </c>
      <c r="K41" s="2">
        <v>0.13273966681913421</v>
      </c>
    </row>
    <row r="42" spans="1:19" x14ac:dyDescent="0.25">
      <c r="A42" s="1" t="s">
        <v>176</v>
      </c>
      <c r="B42" s="3" t="s">
        <v>171</v>
      </c>
      <c r="C42" s="2">
        <v>3.3498507429436317E-2</v>
      </c>
      <c r="D42" s="2">
        <v>7.3447396141728571E-2</v>
      </c>
      <c r="E42" s="2">
        <v>0.33255128116017812</v>
      </c>
      <c r="F42" s="2">
        <v>0.16953773892839</v>
      </c>
      <c r="G42" s="2">
        <v>0.13364374283893729</v>
      </c>
      <c r="H42" s="2">
        <v>0.356393953371827</v>
      </c>
      <c r="I42" s="2">
        <v>0.81881242580153613</v>
      </c>
      <c r="J42" s="2">
        <v>7.3370776696175168</v>
      </c>
      <c r="K42" s="2">
        <v>0.58078882717011215</v>
      </c>
    </row>
    <row r="43" spans="1:19" x14ac:dyDescent="0.25">
      <c r="A43" s="1"/>
      <c r="N43" s="3" t="s">
        <v>166</v>
      </c>
      <c r="O43" s="3" t="s">
        <v>167</v>
      </c>
      <c r="P43" s="3" t="s">
        <v>168</v>
      </c>
      <c r="Q43" s="3" t="s">
        <v>169</v>
      </c>
      <c r="R43" s="3" t="s">
        <v>170</v>
      </c>
      <c r="S43" s="3" t="s">
        <v>171</v>
      </c>
    </row>
    <row r="44" spans="1:19" x14ac:dyDescent="0.25">
      <c r="A44" s="1" t="s">
        <v>177</v>
      </c>
      <c r="B44" s="3" t="s">
        <v>166</v>
      </c>
      <c r="C44" s="2">
        <v>2.445833191368537E-2</v>
      </c>
      <c r="D44" s="2">
        <v>9.7207032456521625E-2</v>
      </c>
      <c r="E44" s="2">
        <v>0.31173270134134567</v>
      </c>
      <c r="F44" s="2">
        <v>0.20146457174938431</v>
      </c>
      <c r="G44" s="2">
        <v>0.18736761869866811</v>
      </c>
      <c r="H44" s="2">
        <v>0.39175961709442708</v>
      </c>
      <c r="I44" s="2">
        <v>0.72336637763730416</v>
      </c>
      <c r="J44" s="2">
        <v>6.4500908435463149</v>
      </c>
      <c r="K44" s="2">
        <v>0.3577437378568446</v>
      </c>
      <c r="M44" s="3" t="s">
        <v>179</v>
      </c>
      <c r="N44" cm="1">
        <f t="array" ref="N44:S44">TRANSPOSE(E58:E63)</f>
        <v>0.21423100960725319</v>
      </c>
      <c r="O44">
        <v>0.31991651498995499</v>
      </c>
      <c r="P44">
        <v>5.0609565244598212E-2</v>
      </c>
      <c r="Q44">
        <v>2.6052183181004319E-2</v>
      </c>
      <c r="R44">
        <v>0.12704431655397569</v>
      </c>
      <c r="S44">
        <v>0.45232739442492492</v>
      </c>
    </row>
    <row r="45" spans="1:19" x14ac:dyDescent="0.25">
      <c r="A45" s="1" t="s">
        <v>177</v>
      </c>
      <c r="B45" s="3" t="s">
        <v>167</v>
      </c>
      <c r="C45" s="2">
        <v>4.2918760466723639E-2</v>
      </c>
      <c r="D45" s="2">
        <v>0.54251680798380852</v>
      </c>
      <c r="E45" s="2">
        <v>1.3498647377375621</v>
      </c>
      <c r="F45" s="2">
        <v>0.95424815529918494</v>
      </c>
      <c r="G45" s="2">
        <v>1.0490575027924121</v>
      </c>
      <c r="H45" s="2">
        <v>1.8226140475059509</v>
      </c>
      <c r="I45" s="2">
        <v>2.7060421570356721</v>
      </c>
      <c r="J45" s="2">
        <v>14.17813374037641</v>
      </c>
      <c r="K45" s="2">
        <v>1.180108001940698</v>
      </c>
      <c r="M45" s="3" t="s">
        <v>178</v>
      </c>
      <c r="N45" cm="1">
        <f t="array" ref="N45:S45">TRANSPOSE(E51:E56)</f>
        <v>0.2033148665536072</v>
      </c>
      <c r="O45">
        <v>0.70720495656634019</v>
      </c>
      <c r="P45">
        <v>6.1678628067990751E-2</v>
      </c>
      <c r="Q45">
        <v>8.4846815957648605E-2</v>
      </c>
      <c r="R45">
        <v>0.35059222998567618</v>
      </c>
      <c r="S45">
        <v>0.88856152674906153</v>
      </c>
    </row>
    <row r="46" spans="1:19" x14ac:dyDescent="0.25">
      <c r="A46" s="1" t="s">
        <v>177</v>
      </c>
      <c r="B46" s="3" t="s">
        <v>168</v>
      </c>
      <c r="C46" s="2">
        <v>4.3908996800200301E-3</v>
      </c>
      <c r="D46" s="2">
        <v>3.6990167082209049E-2</v>
      </c>
      <c r="E46" s="2">
        <v>0.14626158771876879</v>
      </c>
      <c r="F46" s="2">
        <v>8.4328202749315684E-2</v>
      </c>
      <c r="G46" s="2">
        <v>8.5951496119621967E-2</v>
      </c>
      <c r="H46" s="2">
        <v>0.20225302900312009</v>
      </c>
      <c r="I46" s="2">
        <v>0.346649468724404</v>
      </c>
      <c r="J46" s="2">
        <v>2.3293497826646821</v>
      </c>
      <c r="K46" s="2">
        <v>0.1699821466602317</v>
      </c>
      <c r="M46" s="3" t="s">
        <v>177</v>
      </c>
      <c r="N46" cm="1">
        <f t="array" ref="N46:S46">TRANSPOSE(E44:E49)</f>
        <v>0.31173270134134567</v>
      </c>
      <c r="O46">
        <v>1.3498647377375621</v>
      </c>
      <c r="P46">
        <v>0.14626158771876879</v>
      </c>
      <c r="Q46">
        <v>0.1236978409227375</v>
      </c>
      <c r="R46">
        <v>0.74130841281001225</v>
      </c>
      <c r="S46">
        <v>1.648463832134283</v>
      </c>
    </row>
    <row r="47" spans="1:19" x14ac:dyDescent="0.25">
      <c r="A47" s="1" t="s">
        <v>177</v>
      </c>
      <c r="B47" s="3" t="s">
        <v>169</v>
      </c>
      <c r="C47" s="2">
        <v>7.8612976028134187E-3</v>
      </c>
      <c r="D47" s="2">
        <v>5.9077490642505073E-2</v>
      </c>
      <c r="E47" s="2">
        <v>0.1236978409227375</v>
      </c>
      <c r="F47" s="2">
        <v>9.638105873703838E-2</v>
      </c>
      <c r="G47" s="2">
        <v>9.9800149874740521E-2</v>
      </c>
      <c r="H47" s="2">
        <v>0.15854681472574839</v>
      </c>
      <c r="I47" s="2">
        <v>0.2309229328959666</v>
      </c>
      <c r="J47" s="2">
        <v>1.3170999468529341</v>
      </c>
      <c r="K47" s="2">
        <v>9.7688601131718983E-2</v>
      </c>
    </row>
    <row r="48" spans="1:19" x14ac:dyDescent="0.25">
      <c r="A48" s="1" t="s">
        <v>177</v>
      </c>
      <c r="B48" s="3" t="s">
        <v>170</v>
      </c>
      <c r="C48" s="2">
        <v>2.983588443468704E-2</v>
      </c>
      <c r="D48" s="2">
        <v>0.28806128269826009</v>
      </c>
      <c r="E48" s="2">
        <v>0.74130841281001225</v>
      </c>
      <c r="F48" s="2">
        <v>0.512603469782696</v>
      </c>
      <c r="G48" s="2">
        <v>0.55162016700004202</v>
      </c>
      <c r="H48" s="2">
        <v>0.95099270003846359</v>
      </c>
      <c r="I48" s="2">
        <v>1.498690032373108</v>
      </c>
      <c r="J48" s="2">
        <v>19.027345818321589</v>
      </c>
      <c r="K48" s="2">
        <v>0.74994362907448919</v>
      </c>
    </row>
    <row r="49" spans="1:11" x14ac:dyDescent="0.25">
      <c r="A49" s="1" t="s">
        <v>177</v>
      </c>
      <c r="B49" s="3" t="s">
        <v>171</v>
      </c>
      <c r="C49" s="2">
        <v>7.8812245241459813E-2</v>
      </c>
      <c r="D49" s="2">
        <v>0.68685122095967377</v>
      </c>
      <c r="E49" s="2">
        <v>1.648463832134283</v>
      </c>
      <c r="F49" s="2">
        <v>1.2009071984730419</v>
      </c>
      <c r="G49" s="2">
        <v>1.2738395290498521</v>
      </c>
      <c r="H49" s="2">
        <v>2.1998375157089289</v>
      </c>
      <c r="I49" s="2">
        <v>3.2976818233818079</v>
      </c>
      <c r="J49" s="2">
        <v>19.587580334997991</v>
      </c>
      <c r="K49" s="2">
        <v>1.3818618676206</v>
      </c>
    </row>
    <row r="50" spans="1:11" x14ac:dyDescent="0.25">
      <c r="A50" s="1"/>
    </row>
    <row r="51" spans="1:11" x14ac:dyDescent="0.25">
      <c r="A51" s="1" t="s">
        <v>178</v>
      </c>
      <c r="B51" s="3" t="s">
        <v>166</v>
      </c>
      <c r="C51" s="2">
        <v>1.675589448522519E-2</v>
      </c>
      <c r="D51" s="2">
        <v>6.0948010632013251E-2</v>
      </c>
      <c r="E51" s="2">
        <v>0.2033148665536072</v>
      </c>
      <c r="F51" s="2">
        <v>0.1200511946206067</v>
      </c>
      <c r="G51" s="2">
        <v>0.10335061683415341</v>
      </c>
      <c r="H51" s="2">
        <v>0.2081652948980689</v>
      </c>
      <c r="I51" s="2">
        <v>0.46230926739163758</v>
      </c>
      <c r="J51" s="2">
        <v>4.7076399511857323</v>
      </c>
      <c r="K51" s="2">
        <v>0.29107778884536828</v>
      </c>
    </row>
    <row r="52" spans="1:11" x14ac:dyDescent="0.25">
      <c r="A52" s="1" t="s">
        <v>178</v>
      </c>
      <c r="B52" s="3" t="s">
        <v>167</v>
      </c>
      <c r="C52" s="2">
        <v>2.1966565503054869E-2</v>
      </c>
      <c r="D52" s="2">
        <v>0.2128876699106832</v>
      </c>
      <c r="E52" s="2">
        <v>0.70720495656634019</v>
      </c>
      <c r="F52" s="2">
        <v>0.43976223866691339</v>
      </c>
      <c r="G52" s="2">
        <v>0.51887233497267904</v>
      </c>
      <c r="H52" s="2">
        <v>0.9422312242756552</v>
      </c>
      <c r="I52" s="2">
        <v>1.526693499999473</v>
      </c>
      <c r="J52" s="2">
        <v>6.0750427504668636</v>
      </c>
      <c r="K52" s="2">
        <v>0.69502162929411249</v>
      </c>
    </row>
    <row r="53" spans="1:11" x14ac:dyDescent="0.25">
      <c r="A53" s="1" t="s">
        <v>178</v>
      </c>
      <c r="B53" s="3" t="s">
        <v>168</v>
      </c>
      <c r="C53" s="2">
        <v>4.2485291572496014E-3</v>
      </c>
      <c r="D53" s="2">
        <v>2.2227235545609351E-2</v>
      </c>
      <c r="E53" s="2">
        <v>6.1678628067990751E-2</v>
      </c>
      <c r="F53" s="2">
        <v>4.139556333413142E-2</v>
      </c>
      <c r="G53" s="2">
        <v>4.3922545463577128E-2</v>
      </c>
      <c r="H53" s="2">
        <v>7.8685004924699598E-2</v>
      </c>
      <c r="I53" s="2">
        <v>0.12784997109752749</v>
      </c>
      <c r="J53" s="2">
        <v>0.81305529332266202</v>
      </c>
      <c r="K53" s="2">
        <v>6.1148301082722532E-2</v>
      </c>
    </row>
    <row r="54" spans="1:11" x14ac:dyDescent="0.25">
      <c r="A54" s="1" t="s">
        <v>178</v>
      </c>
      <c r="B54" s="3" t="s">
        <v>169</v>
      </c>
      <c r="C54" s="2">
        <v>6.581793068761734E-3</v>
      </c>
      <c r="D54" s="2">
        <v>4.0537883516533028E-2</v>
      </c>
      <c r="E54" s="2">
        <v>8.4846815957648605E-2</v>
      </c>
      <c r="F54" s="2">
        <v>6.346748115860984E-2</v>
      </c>
      <c r="G54" s="2">
        <v>6.1970880258392307E-2</v>
      </c>
      <c r="H54" s="2">
        <v>9.4987736050502855E-2</v>
      </c>
      <c r="I54" s="2">
        <v>0.15236428363472729</v>
      </c>
      <c r="J54" s="2">
        <v>4.0874348312847761</v>
      </c>
      <c r="K54" s="2">
        <v>0.11809571254607761</v>
      </c>
    </row>
    <row r="55" spans="1:11" x14ac:dyDescent="0.25">
      <c r="A55" s="1" t="s">
        <v>178</v>
      </c>
      <c r="B55" s="3" t="s">
        <v>170</v>
      </c>
      <c r="C55" s="2">
        <v>6.3592452382338583E-3</v>
      </c>
      <c r="D55" s="2">
        <v>0.12057980759646281</v>
      </c>
      <c r="E55" s="2">
        <v>0.35059222998567618</v>
      </c>
      <c r="F55" s="2">
        <v>0.20961621777095771</v>
      </c>
      <c r="G55" s="2">
        <v>0.24222188175307369</v>
      </c>
      <c r="H55" s="2">
        <v>0.4470673103683605</v>
      </c>
      <c r="I55" s="2">
        <v>0.75346327620627629</v>
      </c>
      <c r="J55" s="2">
        <v>8.8337310707310959</v>
      </c>
      <c r="K55" s="2">
        <v>0.41458266846450409</v>
      </c>
    </row>
    <row r="56" spans="1:11" x14ac:dyDescent="0.25">
      <c r="A56" s="1" t="s">
        <v>178</v>
      </c>
      <c r="B56" s="3" t="s">
        <v>171</v>
      </c>
      <c r="C56" s="2">
        <v>4.2133478375277783E-2</v>
      </c>
      <c r="D56" s="2">
        <v>0.32361325683599562</v>
      </c>
      <c r="E56" s="2">
        <v>0.88856152674906153</v>
      </c>
      <c r="F56" s="2">
        <v>0.59939403202948671</v>
      </c>
      <c r="G56" s="2">
        <v>0.69415681945796637</v>
      </c>
      <c r="H56" s="2">
        <v>1.1970947205630811</v>
      </c>
      <c r="I56" s="2">
        <v>1.8111271220295559</v>
      </c>
      <c r="J56" s="2">
        <v>8.9382643382258493</v>
      </c>
      <c r="K56" s="2">
        <v>0.80196318536048405</v>
      </c>
    </row>
    <row r="57" spans="1:11" x14ac:dyDescent="0.25">
      <c r="A57" s="1"/>
    </row>
    <row r="58" spans="1:11" x14ac:dyDescent="0.25">
      <c r="A58" s="1" t="s">
        <v>179</v>
      </c>
      <c r="B58" s="3" t="s">
        <v>166</v>
      </c>
      <c r="C58" s="2">
        <v>2.0912197397691141E-2</v>
      </c>
      <c r="D58" s="2">
        <v>9.5169531132875657E-2</v>
      </c>
      <c r="E58" s="2">
        <v>0.21423100960725319</v>
      </c>
      <c r="F58" s="2">
        <v>0.15796659037409749</v>
      </c>
      <c r="G58" s="2">
        <v>0.16291393433343879</v>
      </c>
      <c r="H58" s="2">
        <v>0.26450347187961831</v>
      </c>
      <c r="I58" s="2">
        <v>0.44549917961392049</v>
      </c>
      <c r="J58" s="2">
        <v>1.4955657290804709</v>
      </c>
      <c r="K58" s="2">
        <v>0.1802513657730799</v>
      </c>
    </row>
    <row r="59" spans="1:11" x14ac:dyDescent="0.25">
      <c r="A59" s="1" t="s">
        <v>179</v>
      </c>
      <c r="B59" s="3" t="s">
        <v>167</v>
      </c>
      <c r="C59" s="2">
        <v>1.5411035007422439E-2</v>
      </c>
      <c r="D59" s="2">
        <v>7.7281792294004809E-2</v>
      </c>
      <c r="E59" s="2">
        <v>0.31991651498995499</v>
      </c>
      <c r="F59" s="2">
        <v>0.17278418589356831</v>
      </c>
      <c r="G59" s="2">
        <v>0.17357816682981761</v>
      </c>
      <c r="H59" s="2">
        <v>0.40256782971266819</v>
      </c>
      <c r="I59" s="2">
        <v>0.84469010751711004</v>
      </c>
      <c r="J59" s="2">
        <v>2.6220000171624709</v>
      </c>
      <c r="K59" s="2">
        <v>0.37823188849379252</v>
      </c>
    </row>
    <row r="60" spans="1:11" x14ac:dyDescent="0.25">
      <c r="A60" s="1" t="s">
        <v>179</v>
      </c>
      <c r="B60" s="3" t="s">
        <v>168</v>
      </c>
      <c r="C60" s="2">
        <v>4.3908996800200301E-3</v>
      </c>
      <c r="D60" s="2">
        <v>1.474833126997592E-2</v>
      </c>
      <c r="E60" s="2">
        <v>5.0609565244598212E-2</v>
      </c>
      <c r="F60" s="2">
        <v>2.8810474487233159E-2</v>
      </c>
      <c r="G60" s="2">
        <v>2.748636025376951E-2</v>
      </c>
      <c r="H60" s="2">
        <v>5.6768097444784282E-2</v>
      </c>
      <c r="I60" s="2">
        <v>0.129682319986163</v>
      </c>
      <c r="J60" s="2">
        <v>0.48222047861947959</v>
      </c>
      <c r="K60" s="2">
        <v>6.3040841436662151E-2</v>
      </c>
    </row>
    <row r="61" spans="1:11" x14ac:dyDescent="0.25">
      <c r="A61" s="1" t="s">
        <v>179</v>
      </c>
      <c r="B61" s="3" t="s">
        <v>169</v>
      </c>
      <c r="C61" s="2">
        <v>6.581793068761734E-3</v>
      </c>
      <c r="D61" s="2">
        <v>1.241772926102031E-2</v>
      </c>
      <c r="E61" s="2">
        <v>2.6052183181004319E-2</v>
      </c>
      <c r="F61" s="2">
        <v>1.898111849717617E-2</v>
      </c>
      <c r="G61" s="2">
        <v>1.8403803954617631E-2</v>
      </c>
      <c r="H61" s="2">
        <v>3.1413124319197697E-2</v>
      </c>
      <c r="I61" s="2">
        <v>5.1850027025326657E-2</v>
      </c>
      <c r="J61" s="2">
        <v>0.32816782291992008</v>
      </c>
      <c r="K61" s="2">
        <v>2.6221235977247459E-2</v>
      </c>
    </row>
    <row r="62" spans="1:11" x14ac:dyDescent="0.25">
      <c r="A62" s="1" t="s">
        <v>179</v>
      </c>
      <c r="B62" s="3" t="s">
        <v>170</v>
      </c>
      <c r="C62" s="2">
        <v>6.3592452382338583E-3</v>
      </c>
      <c r="D62" s="2">
        <v>4.4392161410845052E-2</v>
      </c>
      <c r="E62" s="2">
        <v>0.12704431655397569</v>
      </c>
      <c r="F62" s="2">
        <v>7.4690466829458069E-2</v>
      </c>
      <c r="G62" s="2">
        <v>8.2014328016511845E-2</v>
      </c>
      <c r="H62" s="2">
        <v>0.14812501442866779</v>
      </c>
      <c r="I62" s="2">
        <v>0.27628003308212767</v>
      </c>
      <c r="J62" s="2">
        <v>1.7177500342017169</v>
      </c>
      <c r="K62" s="2">
        <v>0.15842078418131911</v>
      </c>
    </row>
    <row r="63" spans="1:11" x14ac:dyDescent="0.25">
      <c r="A63" s="1" t="s">
        <v>179</v>
      </c>
      <c r="B63" s="3" t="s">
        <v>171</v>
      </c>
      <c r="C63" s="2">
        <v>3.3498507429436317E-2</v>
      </c>
      <c r="D63" s="2">
        <v>0.16460996651328791</v>
      </c>
      <c r="E63" s="2">
        <v>0.45232739442492492</v>
      </c>
      <c r="F63" s="2">
        <v>0.30162471815269831</v>
      </c>
      <c r="G63" s="2">
        <v>0.33505581624559211</v>
      </c>
      <c r="H63" s="2">
        <v>0.61889485601502181</v>
      </c>
      <c r="I63" s="2">
        <v>1.0034026582748901</v>
      </c>
      <c r="J63" s="2">
        <v>2.7627516555057938</v>
      </c>
      <c r="K63" s="2">
        <v>0.41024866651027181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Toledo-crow</dc:creator>
  <cp:lastModifiedBy>Ricardo Toledo-crow</cp:lastModifiedBy>
  <dcterms:created xsi:type="dcterms:W3CDTF">2025-10-23T18:00:18Z</dcterms:created>
  <dcterms:modified xsi:type="dcterms:W3CDTF">2025-11-13T21:07:56Z</dcterms:modified>
</cp:coreProperties>
</file>