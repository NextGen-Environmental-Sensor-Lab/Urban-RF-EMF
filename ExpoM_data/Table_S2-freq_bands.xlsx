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ensadmin/Library/CloudStorage/Dropbox-GraduateCenter/Ricardo Toledo-Crow/Urban RF-EMF measurements/RT-C/ExpoM_data/expom1/"/>
    </mc:Choice>
  </mc:AlternateContent>
  <xr:revisionPtr revIDLastSave="0" documentId="13_ncr:1_{0EBCB3DE-F591-6B45-A2C8-43142DE346E5}" xr6:coauthVersionLast="47" xr6:coauthVersionMax="47" xr10:uidLastSave="{00000000-0000-0000-0000-000000000000}"/>
  <bookViews>
    <workbookView xWindow="5180" yWindow="1800" windowWidth="33220" windowHeight="19800" xr2:uid="{B33E0E12-98A4-1E4C-BBA9-CB3AA837C734}"/>
  </bookViews>
  <sheets>
    <sheet name="Sheet1" sheetId="1" r:id="rId1"/>
  </sheets>
  <definedNames>
    <definedName name="_xlnm._FilterDatabase" localSheetId="0" hidden="1">Sheet1!$A$1:$I$41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F2" i="1"/>
  <c r="E2" i="1"/>
</calcChain>
</file>

<file path=xl/sharedStrings.xml><?xml version="1.0" encoding="utf-8"?>
<sst xmlns="http://schemas.openxmlformats.org/spreadsheetml/2006/main" count="87" uniqueCount="25">
  <si>
    <t>Technology</t>
  </si>
  <si>
    <t>Broadcast</t>
  </si>
  <si>
    <t xml:space="preserve">Downlink </t>
  </si>
  <si>
    <t xml:space="preserve">Uplink </t>
  </si>
  <si>
    <t>WLAN</t>
  </si>
  <si>
    <t>Downlink or Uplink</t>
  </si>
  <si>
    <t>DECT</t>
  </si>
  <si>
    <t>TDD</t>
  </si>
  <si>
    <t>Center Freq MHz</t>
  </si>
  <si>
    <t>Band Name</t>
  </si>
  <si>
    <t>FM Radio</t>
  </si>
  <si>
    <t>VHF 1, 2, 3</t>
  </si>
  <si>
    <t>UHF1</t>
  </si>
  <si>
    <t>UHF2</t>
  </si>
  <si>
    <t>UHF3</t>
  </si>
  <si>
    <t>Mobile DL</t>
  </si>
  <si>
    <t>Mobile UL</t>
  </si>
  <si>
    <t>ISM</t>
  </si>
  <si>
    <t>Mobile UL or DL</t>
  </si>
  <si>
    <t>Low end MHz</t>
  </si>
  <si>
    <t>High end MHz</t>
  </si>
  <si>
    <t>Bandwidth MHz</t>
  </si>
  <si>
    <t>Device Lower Detection Limits per manual V/m</t>
  </si>
  <si>
    <t>Low level measurements in anaechoic chamber V/m</t>
  </si>
  <si>
    <t>Band separation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</si>
</sst>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EB99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5" xfId="0" applyFill="1" applyBorder="1"/>
    <xf numFmtId="0" fontId="0" fillId="2" borderId="1" xfId="0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0" fontId="0" fillId="2" borderId="6" xfId="0" applyFill="1" applyBorder="1"/>
    <xf numFmtId="0" fontId="0" fillId="3" borderId="5" xfId="0" applyFill="1" applyBorder="1"/>
    <xf numFmtId="0" fontId="0" fillId="3" borderId="1" xfId="0" applyFill="1" applyBorder="1"/>
    <xf numFmtId="2" fontId="0" fillId="3" borderId="1" xfId="0" applyNumberFormat="1" applyFill="1" applyBorder="1"/>
    <xf numFmtId="164" fontId="0" fillId="3" borderId="1" xfId="0" applyNumberFormat="1" applyFill="1" applyBorder="1"/>
    <xf numFmtId="0" fontId="0" fillId="3" borderId="6" xfId="0" applyFill="1" applyBorder="1"/>
    <xf numFmtId="0" fontId="0" fillId="7" borderId="5" xfId="0" applyFill="1" applyBorder="1"/>
    <xf numFmtId="0" fontId="0" fillId="7" borderId="1" xfId="0" applyFill="1" applyBorder="1"/>
    <xf numFmtId="2" fontId="0" fillId="7" borderId="1" xfId="0" applyNumberFormat="1" applyFill="1" applyBorder="1"/>
    <xf numFmtId="164" fontId="0" fillId="7" borderId="1" xfId="0" applyNumberFormat="1" applyFill="1" applyBorder="1"/>
    <xf numFmtId="0" fontId="0" fillId="7" borderId="6" xfId="0" applyFill="1" applyBorder="1"/>
    <xf numFmtId="0" fontId="0" fillId="5" borderId="5" xfId="0" applyFill="1" applyBorder="1"/>
    <xf numFmtId="0" fontId="0" fillId="5" borderId="1" xfId="0" applyFill="1" applyBorder="1"/>
    <xf numFmtId="2" fontId="0" fillId="5" borderId="1" xfId="0" applyNumberFormat="1" applyFill="1" applyBorder="1"/>
    <xf numFmtId="164" fontId="0" fillId="5" borderId="1" xfId="0" applyNumberFormat="1" applyFill="1" applyBorder="1"/>
    <xf numFmtId="0" fontId="0" fillId="5" borderId="6" xfId="0" applyFill="1" applyBorder="1"/>
    <xf numFmtId="0" fontId="0" fillId="6" borderId="5" xfId="0" applyFill="1" applyBorder="1"/>
    <xf numFmtId="0" fontId="0" fillId="6" borderId="1" xfId="0" applyFill="1" applyBorder="1"/>
    <xf numFmtId="2" fontId="0" fillId="6" borderId="1" xfId="0" applyNumberFormat="1" applyFill="1" applyBorder="1"/>
    <xf numFmtId="164" fontId="0" fillId="6" borderId="1" xfId="0" applyNumberFormat="1" applyFill="1" applyBorder="1"/>
    <xf numFmtId="0" fontId="0" fillId="6" borderId="6" xfId="0" applyFill="1" applyBorder="1"/>
    <xf numFmtId="0" fontId="0" fillId="4" borderId="5" xfId="0" applyFill="1" applyBorder="1"/>
    <xf numFmtId="0" fontId="0" fillId="4" borderId="1" xfId="0" applyFill="1" applyBorder="1"/>
    <xf numFmtId="2" fontId="0" fillId="4" borderId="1" xfId="0" applyNumberFormat="1" applyFill="1" applyBorder="1"/>
    <xf numFmtId="164" fontId="0" fillId="4" borderId="1" xfId="0" applyNumberFormat="1" applyFill="1" applyBorder="1"/>
    <xf numFmtId="0" fontId="0" fillId="4" borderId="6" xfId="0" applyFill="1" applyBorder="1"/>
    <xf numFmtId="0" fontId="0" fillId="6" borderId="7" xfId="0" applyFill="1" applyBorder="1"/>
    <xf numFmtId="0" fontId="0" fillId="6" borderId="8" xfId="0" applyFill="1" applyBorder="1"/>
    <xf numFmtId="2" fontId="0" fillId="6" borderId="8" xfId="0" applyNumberFormat="1" applyFill="1" applyBorder="1"/>
    <xf numFmtId="164" fontId="0" fillId="6" borderId="8" xfId="0" applyNumberFormat="1" applyFill="1" applyBorder="1"/>
    <xf numFmtId="0" fontId="0" fillId="6" borderId="9" xfId="0" applyFill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14">
    <dxf>
      <fill>
        <patternFill patternType="solid">
          <fgColor indexed="64"/>
          <bgColor rgb="FFF3EB99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fill>
        <patternFill patternType="solid">
          <fgColor indexed="64"/>
          <bgColor rgb="FFF3EB9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rgb="FFF3EB9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rgb="FFF3EB9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rgb="FFF3EB9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3EB9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rgb="FFF3EB9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3EB9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3EB99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3EB99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3EB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9E3118-9C8C-2A40-9DF6-5C909420E34D}" name="Table2" displayName="Table2" ref="A1:I40" totalsRowShown="0" headerRowDxfId="13" dataDxfId="11" headerRowBorderDxfId="12" tableBorderDxfId="10" totalsRowBorderDxfId="9">
  <autoFilter ref="A1:I40" xr:uid="{149E3118-9C8C-2A40-9DF6-5C909420E34D}"/>
  <tableColumns count="9">
    <tableColumn id="1" xr3:uid="{E77F1EC9-5E2C-B24D-8303-3DDE363E91FA}" name="Technology" dataDxfId="8"/>
    <tableColumn id="2" xr3:uid="{ACBAAB54-9894-F544-A059-A426CA969D08}" name="Band Name" dataDxfId="7"/>
    <tableColumn id="3" xr3:uid="{F7A2E2E7-6C92-3D49-8ABF-C464C17B7414}" name="Center Freq MHz" dataDxfId="6"/>
    <tableColumn id="4" xr3:uid="{0C5BB0B9-5B5B-D245-8ECA-5E5164CEE257}" name="Bandwidth MHz" dataDxfId="5"/>
    <tableColumn id="5" xr3:uid="{0D8DBAE3-1B42-2945-9333-CFD9A916E5C8}" name="Low end MHz" dataDxfId="4">
      <calculatedColumnFormula>C2-D2/2</calculatedColumnFormula>
    </tableColumn>
    <tableColumn id="6" xr3:uid="{9B06DE25-E120-D840-8222-EC6E8900A25C}" name="High end MHz" dataDxfId="3">
      <calculatedColumnFormula>C2+D2/2</calculatedColumnFormula>
    </tableColumn>
    <tableColumn id="7" xr3:uid="{60A23BF8-01F9-8346-89A7-B443215ED56D}" name="Band separation MHz" dataDxfId="2"/>
    <tableColumn id="8" xr3:uid="{7A95B677-9B15-CB48-9939-C6812E33FEA6}" name="Device Lower Detection Limits per manual V/m" dataDxfId="1"/>
    <tableColumn id="9" xr3:uid="{04FE4E8F-94C2-5640-B5CA-4E47B025ADA0}" name="Low level measurements in anaechoic chamber V/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2B5F-5ECC-BE46-A27F-1B287AAB0E4C}">
  <dimension ref="A1:K40"/>
  <sheetViews>
    <sheetView tabSelected="1" workbookViewId="0">
      <selection activeCell="A19" sqref="A19"/>
    </sheetView>
  </sheetViews>
  <sheetFormatPr baseColWidth="10" defaultRowHeight="16" x14ac:dyDescent="0.2"/>
  <cols>
    <col min="1" max="1" width="16" bestFit="1" customWidth="1"/>
    <col min="2" max="2" width="13.5" bestFit="1" customWidth="1"/>
    <col min="3" max="3" width="17.1640625" style="1" customWidth="1"/>
    <col min="4" max="4" width="16.1640625" style="1" customWidth="1"/>
    <col min="5" max="5" width="14.1640625" style="1" customWidth="1"/>
    <col min="6" max="6" width="14.6640625" style="1" customWidth="1"/>
    <col min="7" max="7" width="20.83203125" style="1" customWidth="1"/>
    <col min="8" max="8" width="18" style="2" customWidth="1"/>
    <col min="9" max="9" width="18.1640625" customWidth="1"/>
    <col min="10" max="16384" width="10.83203125" style="44"/>
  </cols>
  <sheetData>
    <row r="1" spans="1:11" s="43" customFormat="1" ht="71" customHeight="1" x14ac:dyDescent="0.2">
      <c r="A1" s="38" t="s">
        <v>0</v>
      </c>
      <c r="B1" s="39" t="s">
        <v>9</v>
      </c>
      <c r="C1" s="40" t="s">
        <v>8</v>
      </c>
      <c r="D1" s="40" t="s">
        <v>21</v>
      </c>
      <c r="E1" s="40" t="s">
        <v>19</v>
      </c>
      <c r="F1" s="40" t="s">
        <v>20</v>
      </c>
      <c r="G1" s="40" t="s">
        <v>24</v>
      </c>
      <c r="H1" s="41" t="s">
        <v>22</v>
      </c>
      <c r="I1" s="42" t="s">
        <v>23</v>
      </c>
    </row>
    <row r="2" spans="1:11" x14ac:dyDescent="0.2">
      <c r="A2" s="3" t="s">
        <v>1</v>
      </c>
      <c r="B2" s="4" t="s">
        <v>10</v>
      </c>
      <c r="C2" s="5">
        <v>97.75</v>
      </c>
      <c r="D2" s="4">
        <v>35</v>
      </c>
      <c r="E2" s="5">
        <f t="shared" ref="E2:E40" si="0">C2-D2/2</f>
        <v>80.25</v>
      </c>
      <c r="F2" s="5">
        <f t="shared" ref="F2:F40" si="1">C2+D2/2</f>
        <v>115.25</v>
      </c>
      <c r="G2" s="5"/>
      <c r="H2" s="6">
        <v>0.01</v>
      </c>
      <c r="I2" s="7">
        <v>1.0699999999999999E-2</v>
      </c>
    </row>
    <row r="3" spans="1:11" x14ac:dyDescent="0.2">
      <c r="A3" s="3" t="s">
        <v>1</v>
      </c>
      <c r="B3" s="4" t="s">
        <v>11</v>
      </c>
      <c r="C3" s="5">
        <v>186</v>
      </c>
      <c r="D3" s="4">
        <v>75</v>
      </c>
      <c r="E3" s="5">
        <f t="shared" si="0"/>
        <v>148.5</v>
      </c>
      <c r="F3" s="5">
        <f t="shared" si="1"/>
        <v>223.5</v>
      </c>
      <c r="G3" s="5">
        <v>33.25</v>
      </c>
      <c r="H3" s="6">
        <v>0.01</v>
      </c>
      <c r="I3" s="7">
        <v>1.9E-3</v>
      </c>
      <c r="K3" s="45"/>
    </row>
    <row r="4" spans="1:11" x14ac:dyDescent="0.2">
      <c r="A4" s="3" t="s">
        <v>1</v>
      </c>
      <c r="B4" s="4" t="s">
        <v>12</v>
      </c>
      <c r="C4" s="5">
        <v>456</v>
      </c>
      <c r="D4" s="4">
        <v>100</v>
      </c>
      <c r="E4" s="5">
        <f t="shared" si="0"/>
        <v>406</v>
      </c>
      <c r="F4" s="5">
        <f t="shared" si="1"/>
        <v>506</v>
      </c>
      <c r="G4" s="5">
        <v>182.5</v>
      </c>
      <c r="H4" s="6">
        <v>5.0000000000000001E-3</v>
      </c>
      <c r="I4" s="7">
        <v>1.9E-3</v>
      </c>
      <c r="K4" s="45"/>
    </row>
    <row r="5" spans="1:11" x14ac:dyDescent="0.2">
      <c r="A5" s="3" t="s">
        <v>1</v>
      </c>
      <c r="B5" s="4" t="s">
        <v>13</v>
      </c>
      <c r="C5" s="5">
        <v>523.4</v>
      </c>
      <c r="D5" s="4">
        <v>35</v>
      </c>
      <c r="E5" s="5">
        <f t="shared" si="0"/>
        <v>505.9</v>
      </c>
      <c r="F5" s="5">
        <f t="shared" si="1"/>
        <v>540.9</v>
      </c>
      <c r="G5" s="5">
        <v>-0.10000000000002274</v>
      </c>
      <c r="H5" s="6">
        <v>5.0000000000000001E-3</v>
      </c>
      <c r="I5" s="7">
        <v>1.9E-3</v>
      </c>
      <c r="K5" s="45"/>
    </row>
    <row r="6" spans="1:11" x14ac:dyDescent="0.2">
      <c r="A6" s="3" t="s">
        <v>1</v>
      </c>
      <c r="B6" s="4" t="s">
        <v>14</v>
      </c>
      <c r="C6" s="5">
        <v>578.5</v>
      </c>
      <c r="D6" s="4">
        <v>75</v>
      </c>
      <c r="E6" s="5">
        <f t="shared" si="0"/>
        <v>541</v>
      </c>
      <c r="F6" s="5">
        <f t="shared" si="1"/>
        <v>616</v>
      </c>
      <c r="G6" s="5">
        <v>0.10000000000002274</v>
      </c>
      <c r="H6" s="6">
        <v>5.0000000000000001E-3</v>
      </c>
      <c r="I6" s="7">
        <v>1.9E-3</v>
      </c>
      <c r="K6" s="45"/>
    </row>
    <row r="7" spans="1:11" x14ac:dyDescent="0.2">
      <c r="A7" s="8" t="s">
        <v>2</v>
      </c>
      <c r="B7" s="9" t="s">
        <v>15</v>
      </c>
      <c r="C7" s="10">
        <v>634.5</v>
      </c>
      <c r="D7" s="9">
        <v>35</v>
      </c>
      <c r="E7" s="10">
        <f t="shared" si="0"/>
        <v>617</v>
      </c>
      <c r="F7" s="10">
        <f t="shared" si="1"/>
        <v>652</v>
      </c>
      <c r="G7" s="10">
        <v>1</v>
      </c>
      <c r="H7" s="11">
        <v>5.0000000000000001E-3</v>
      </c>
      <c r="I7" s="12">
        <v>1.9E-3</v>
      </c>
      <c r="K7" s="45"/>
    </row>
    <row r="8" spans="1:11" x14ac:dyDescent="0.2">
      <c r="A8" s="13" t="s">
        <v>3</v>
      </c>
      <c r="B8" s="14" t="s">
        <v>16</v>
      </c>
      <c r="C8" s="15">
        <v>680.5</v>
      </c>
      <c r="D8" s="14">
        <v>35</v>
      </c>
      <c r="E8" s="15">
        <f t="shared" si="0"/>
        <v>663</v>
      </c>
      <c r="F8" s="15">
        <f t="shared" si="1"/>
        <v>698</v>
      </c>
      <c r="G8" s="15">
        <v>11</v>
      </c>
      <c r="H8" s="16">
        <v>5.0000000000000001E-3</v>
      </c>
      <c r="I8" s="17">
        <v>1.9E-3</v>
      </c>
      <c r="K8" s="45"/>
    </row>
    <row r="9" spans="1:11" x14ac:dyDescent="0.2">
      <c r="A9" s="18" t="s">
        <v>3</v>
      </c>
      <c r="B9" s="19" t="s">
        <v>16</v>
      </c>
      <c r="C9" s="20">
        <v>698.6</v>
      </c>
      <c r="D9" s="19">
        <v>35</v>
      </c>
      <c r="E9" s="20">
        <f t="shared" si="0"/>
        <v>681.1</v>
      </c>
      <c r="F9" s="20">
        <f t="shared" si="1"/>
        <v>716.1</v>
      </c>
      <c r="G9" s="20">
        <v>-16.899999999999977</v>
      </c>
      <c r="H9" s="21">
        <v>5.0000000000000001E-3</v>
      </c>
      <c r="I9" s="22">
        <v>1.9E-3</v>
      </c>
      <c r="K9" s="45"/>
    </row>
    <row r="10" spans="1:11" x14ac:dyDescent="0.2">
      <c r="A10" s="8" t="s">
        <v>2</v>
      </c>
      <c r="B10" s="9" t="s">
        <v>15</v>
      </c>
      <c r="C10" s="10">
        <v>745.5</v>
      </c>
      <c r="D10" s="9">
        <v>35</v>
      </c>
      <c r="E10" s="10">
        <f t="shared" si="0"/>
        <v>728</v>
      </c>
      <c r="F10" s="10">
        <f t="shared" si="1"/>
        <v>763</v>
      </c>
      <c r="G10" s="10">
        <v>11.899999999999977</v>
      </c>
      <c r="H10" s="11">
        <v>5.0000000000000001E-3</v>
      </c>
      <c r="I10" s="12">
        <v>1.9E-3</v>
      </c>
      <c r="K10" s="45"/>
    </row>
    <row r="11" spans="1:11" x14ac:dyDescent="0.2">
      <c r="A11" s="18" t="s">
        <v>3</v>
      </c>
      <c r="B11" s="19" t="s">
        <v>16</v>
      </c>
      <c r="C11" s="20">
        <v>784.5</v>
      </c>
      <c r="D11" s="19">
        <v>35</v>
      </c>
      <c r="E11" s="20">
        <f t="shared" si="0"/>
        <v>767</v>
      </c>
      <c r="F11" s="20">
        <f t="shared" si="1"/>
        <v>802</v>
      </c>
      <c r="G11" s="20">
        <v>4</v>
      </c>
      <c r="H11" s="21">
        <v>5.0000000000000001E-3</v>
      </c>
      <c r="I11" s="22">
        <v>1.9E-3</v>
      </c>
      <c r="K11" s="45"/>
    </row>
    <row r="12" spans="1:11" x14ac:dyDescent="0.2">
      <c r="A12" s="18" t="s">
        <v>3</v>
      </c>
      <c r="B12" s="19" t="s">
        <v>16</v>
      </c>
      <c r="C12" s="20">
        <v>831.5</v>
      </c>
      <c r="D12" s="19">
        <v>35</v>
      </c>
      <c r="E12" s="20">
        <f t="shared" si="0"/>
        <v>814</v>
      </c>
      <c r="F12" s="20">
        <f t="shared" si="1"/>
        <v>849</v>
      </c>
      <c r="G12" s="20">
        <v>12</v>
      </c>
      <c r="H12" s="21">
        <v>5.0000000000000001E-3</v>
      </c>
      <c r="I12" s="22">
        <v>1.9E-3</v>
      </c>
      <c r="K12" s="45"/>
    </row>
    <row r="13" spans="1:11" x14ac:dyDescent="0.2">
      <c r="A13" s="8" t="s">
        <v>2</v>
      </c>
      <c r="B13" s="9" t="s">
        <v>15</v>
      </c>
      <c r="C13" s="10">
        <v>876.5</v>
      </c>
      <c r="D13" s="9">
        <v>35</v>
      </c>
      <c r="E13" s="10">
        <f t="shared" si="0"/>
        <v>859</v>
      </c>
      <c r="F13" s="10">
        <f t="shared" si="1"/>
        <v>894</v>
      </c>
      <c r="G13" s="10">
        <v>10</v>
      </c>
      <c r="H13" s="11">
        <v>5.0000000000000001E-3</v>
      </c>
      <c r="I13" s="12">
        <v>1.9E-3</v>
      </c>
      <c r="K13" s="45"/>
    </row>
    <row r="14" spans="1:11" x14ac:dyDescent="0.2">
      <c r="A14" s="23" t="s">
        <v>4</v>
      </c>
      <c r="B14" s="24" t="s">
        <v>17</v>
      </c>
      <c r="C14" s="25">
        <v>915</v>
      </c>
      <c r="D14" s="24">
        <v>35</v>
      </c>
      <c r="E14" s="25">
        <f t="shared" si="0"/>
        <v>897.5</v>
      </c>
      <c r="F14" s="25">
        <f t="shared" si="1"/>
        <v>932.5</v>
      </c>
      <c r="G14" s="25">
        <v>3.5</v>
      </c>
      <c r="H14" s="26">
        <v>5.0000000000000001E-3</v>
      </c>
      <c r="I14" s="27">
        <v>1.9E-3</v>
      </c>
      <c r="K14" s="45"/>
    </row>
    <row r="15" spans="1:11" x14ac:dyDescent="0.2">
      <c r="A15" s="13" t="s">
        <v>5</v>
      </c>
      <c r="B15" s="14" t="s">
        <v>18</v>
      </c>
      <c r="C15" s="15">
        <v>1412.5</v>
      </c>
      <c r="D15" s="14">
        <v>35</v>
      </c>
      <c r="E15" s="15">
        <f t="shared" si="0"/>
        <v>1395</v>
      </c>
      <c r="F15" s="15">
        <f t="shared" si="1"/>
        <v>1430</v>
      </c>
      <c r="G15" s="15">
        <v>462.5</v>
      </c>
      <c r="H15" s="16">
        <v>5.0000000000000001E-3</v>
      </c>
      <c r="I15" s="17">
        <v>1.9E-3</v>
      </c>
      <c r="K15" s="45"/>
    </row>
    <row r="16" spans="1:11" x14ac:dyDescent="0.2">
      <c r="A16" s="18" t="s">
        <v>3</v>
      </c>
      <c r="B16" s="19" t="s">
        <v>16</v>
      </c>
      <c r="C16" s="20">
        <v>1740</v>
      </c>
      <c r="D16" s="19">
        <v>100</v>
      </c>
      <c r="E16" s="20">
        <f t="shared" si="0"/>
        <v>1690</v>
      </c>
      <c r="F16" s="20">
        <f t="shared" si="1"/>
        <v>1790</v>
      </c>
      <c r="G16" s="20">
        <v>260</v>
      </c>
      <c r="H16" s="21">
        <v>5.0000000000000001E-3</v>
      </c>
      <c r="I16" s="22">
        <v>1.9E-3</v>
      </c>
      <c r="K16" s="45"/>
    </row>
    <row r="17" spans="1:11" x14ac:dyDescent="0.2">
      <c r="A17" s="18" t="s">
        <v>3</v>
      </c>
      <c r="B17" s="19" t="s">
        <v>16</v>
      </c>
      <c r="C17" s="20">
        <v>1885</v>
      </c>
      <c r="D17" s="19">
        <v>75</v>
      </c>
      <c r="E17" s="20">
        <f t="shared" si="0"/>
        <v>1847.5</v>
      </c>
      <c r="F17" s="20">
        <f t="shared" si="1"/>
        <v>1922.5</v>
      </c>
      <c r="G17" s="20">
        <v>57.5</v>
      </c>
      <c r="H17" s="21">
        <v>5.0000000000000001E-3</v>
      </c>
      <c r="I17" s="22">
        <v>1.9E-3</v>
      </c>
      <c r="K17" s="45"/>
    </row>
    <row r="18" spans="1:11" x14ac:dyDescent="0.2">
      <c r="A18" s="13" t="s">
        <v>6</v>
      </c>
      <c r="B18" s="14" t="s">
        <v>6</v>
      </c>
      <c r="C18" s="15">
        <v>1925</v>
      </c>
      <c r="D18" s="14">
        <v>35</v>
      </c>
      <c r="E18" s="15">
        <f t="shared" si="0"/>
        <v>1907.5</v>
      </c>
      <c r="F18" s="15">
        <f t="shared" si="1"/>
        <v>1942.5</v>
      </c>
      <c r="G18" s="15">
        <v>-15</v>
      </c>
      <c r="H18" s="16">
        <v>5.0000000000000001E-3</v>
      </c>
      <c r="I18" s="17">
        <v>1.9E-3</v>
      </c>
      <c r="K18" s="45"/>
    </row>
    <row r="19" spans="1:11" x14ac:dyDescent="0.2">
      <c r="A19" s="8" t="s">
        <v>2</v>
      </c>
      <c r="B19" s="9" t="s">
        <v>15</v>
      </c>
      <c r="C19" s="10">
        <v>1980</v>
      </c>
      <c r="D19" s="9">
        <v>100</v>
      </c>
      <c r="E19" s="10">
        <f t="shared" si="0"/>
        <v>1930</v>
      </c>
      <c r="F19" s="10">
        <f t="shared" si="1"/>
        <v>2030</v>
      </c>
      <c r="G19" s="10">
        <v>-12.5</v>
      </c>
      <c r="H19" s="11">
        <v>5.0000000000000001E-3</v>
      </c>
      <c r="I19" s="12">
        <v>3.3999999999999998E-3</v>
      </c>
      <c r="K19" s="45"/>
    </row>
    <row r="20" spans="1:11" x14ac:dyDescent="0.2">
      <c r="A20" s="8" t="s">
        <v>2</v>
      </c>
      <c r="B20" s="9" t="s">
        <v>15</v>
      </c>
      <c r="C20" s="10">
        <v>2155</v>
      </c>
      <c r="D20" s="9">
        <v>100</v>
      </c>
      <c r="E20" s="10">
        <f t="shared" si="0"/>
        <v>2105</v>
      </c>
      <c r="F20" s="10">
        <f t="shared" si="1"/>
        <v>2205</v>
      </c>
      <c r="G20" s="10">
        <v>75</v>
      </c>
      <c r="H20" s="11">
        <v>5.0000000000000001E-3</v>
      </c>
      <c r="I20" s="12">
        <v>3.3999999999999998E-3</v>
      </c>
      <c r="K20" s="45"/>
    </row>
    <row r="21" spans="1:11" x14ac:dyDescent="0.2">
      <c r="A21" s="28" t="s">
        <v>7</v>
      </c>
      <c r="B21" s="29" t="s">
        <v>7</v>
      </c>
      <c r="C21" s="30">
        <v>2350</v>
      </c>
      <c r="D21" s="29">
        <v>100</v>
      </c>
      <c r="E21" s="30">
        <f t="shared" si="0"/>
        <v>2300</v>
      </c>
      <c r="F21" s="30">
        <f t="shared" si="1"/>
        <v>2400</v>
      </c>
      <c r="G21" s="30">
        <v>95</v>
      </c>
      <c r="H21" s="31">
        <v>5.0000000000000001E-3</v>
      </c>
      <c r="I21" s="32">
        <v>3.3999999999999998E-3</v>
      </c>
      <c r="K21" s="45"/>
    </row>
    <row r="22" spans="1:11" x14ac:dyDescent="0.2">
      <c r="A22" s="23" t="s">
        <v>4</v>
      </c>
      <c r="B22" s="24" t="s">
        <v>4</v>
      </c>
      <c r="C22" s="25">
        <v>2450</v>
      </c>
      <c r="D22" s="24">
        <v>100</v>
      </c>
      <c r="E22" s="25">
        <f t="shared" si="0"/>
        <v>2400</v>
      </c>
      <c r="F22" s="25">
        <f t="shared" si="1"/>
        <v>2500</v>
      </c>
      <c r="G22" s="25">
        <v>0</v>
      </c>
      <c r="H22" s="26">
        <v>5.0000000000000001E-3</v>
      </c>
      <c r="I22" s="27">
        <v>1.9E-3</v>
      </c>
      <c r="K22" s="45"/>
    </row>
    <row r="23" spans="1:11" x14ac:dyDescent="0.2">
      <c r="A23" s="28" t="s">
        <v>7</v>
      </c>
      <c r="B23" s="29" t="s">
        <v>7</v>
      </c>
      <c r="C23" s="30">
        <v>2546</v>
      </c>
      <c r="D23" s="29">
        <v>100</v>
      </c>
      <c r="E23" s="30">
        <f t="shared" si="0"/>
        <v>2496</v>
      </c>
      <c r="F23" s="30">
        <f t="shared" si="1"/>
        <v>2596</v>
      </c>
      <c r="G23" s="30">
        <v>-4</v>
      </c>
      <c r="H23" s="31">
        <v>5.0000000000000001E-3</v>
      </c>
      <c r="I23" s="32">
        <v>1.9E-3</v>
      </c>
      <c r="K23" s="45"/>
    </row>
    <row r="24" spans="1:11" x14ac:dyDescent="0.2">
      <c r="A24" s="28" t="s">
        <v>7</v>
      </c>
      <c r="B24" s="29" t="s">
        <v>7</v>
      </c>
      <c r="C24" s="30">
        <v>2643</v>
      </c>
      <c r="D24" s="29">
        <v>100</v>
      </c>
      <c r="E24" s="30">
        <f t="shared" si="0"/>
        <v>2593</v>
      </c>
      <c r="F24" s="30">
        <f t="shared" si="1"/>
        <v>2693</v>
      </c>
      <c r="G24" s="30">
        <v>-3</v>
      </c>
      <c r="H24" s="31">
        <v>5.0000000000000001E-3</v>
      </c>
      <c r="I24" s="32">
        <v>1.9E-3</v>
      </c>
      <c r="K24" s="45"/>
    </row>
    <row r="25" spans="1:11" x14ac:dyDescent="0.2">
      <c r="A25" s="28" t="s">
        <v>7</v>
      </c>
      <c r="B25" s="29" t="s">
        <v>7</v>
      </c>
      <c r="C25" s="30">
        <v>3500</v>
      </c>
      <c r="D25" s="29">
        <v>100</v>
      </c>
      <c r="E25" s="30">
        <f t="shared" si="0"/>
        <v>3450</v>
      </c>
      <c r="F25" s="30">
        <f t="shared" si="1"/>
        <v>3550</v>
      </c>
      <c r="G25" s="30">
        <v>757</v>
      </c>
      <c r="H25" s="31">
        <v>5.0000000000000001E-3</v>
      </c>
      <c r="I25" s="32">
        <v>1.9E-3</v>
      </c>
      <c r="K25" s="45"/>
    </row>
    <row r="26" spans="1:11" x14ac:dyDescent="0.2">
      <c r="A26" s="28" t="s">
        <v>7</v>
      </c>
      <c r="B26" s="29" t="s">
        <v>7</v>
      </c>
      <c r="C26" s="30">
        <v>3600</v>
      </c>
      <c r="D26" s="29">
        <v>100</v>
      </c>
      <c r="E26" s="30">
        <f t="shared" si="0"/>
        <v>3550</v>
      </c>
      <c r="F26" s="30">
        <f t="shared" si="1"/>
        <v>3650</v>
      </c>
      <c r="G26" s="30">
        <v>0</v>
      </c>
      <c r="H26" s="31">
        <v>5.0000000000000001E-3</v>
      </c>
      <c r="I26" s="32">
        <v>1.9E-3</v>
      </c>
      <c r="K26" s="45"/>
    </row>
    <row r="27" spans="1:11" x14ac:dyDescent="0.2">
      <c r="A27" s="28" t="s">
        <v>7</v>
      </c>
      <c r="B27" s="29" t="s">
        <v>7</v>
      </c>
      <c r="C27" s="30">
        <v>3700</v>
      </c>
      <c r="D27" s="29">
        <v>100</v>
      </c>
      <c r="E27" s="30">
        <f t="shared" si="0"/>
        <v>3650</v>
      </c>
      <c r="F27" s="30">
        <f t="shared" si="1"/>
        <v>3750</v>
      </c>
      <c r="G27" s="30">
        <v>0</v>
      </c>
      <c r="H27" s="31">
        <v>5.0000000000000001E-3</v>
      </c>
      <c r="I27" s="32">
        <v>1.9E-3</v>
      </c>
      <c r="K27" s="45"/>
    </row>
    <row r="28" spans="1:11" x14ac:dyDescent="0.2">
      <c r="A28" s="28" t="s">
        <v>7</v>
      </c>
      <c r="B28" s="29" t="s">
        <v>7</v>
      </c>
      <c r="C28" s="30">
        <v>3800</v>
      </c>
      <c r="D28" s="29">
        <v>100</v>
      </c>
      <c r="E28" s="30">
        <f t="shared" si="0"/>
        <v>3750</v>
      </c>
      <c r="F28" s="30">
        <f t="shared" si="1"/>
        <v>3850</v>
      </c>
      <c r="G28" s="30">
        <v>0</v>
      </c>
      <c r="H28" s="31">
        <v>5.0000000000000001E-3</v>
      </c>
      <c r="I28" s="32">
        <v>1.9E-3</v>
      </c>
      <c r="K28" s="45"/>
    </row>
    <row r="29" spans="1:11" x14ac:dyDescent="0.2">
      <c r="A29" s="28" t="s">
        <v>7</v>
      </c>
      <c r="B29" s="29" t="s">
        <v>7</v>
      </c>
      <c r="C29" s="30">
        <v>3900</v>
      </c>
      <c r="D29" s="29">
        <v>100</v>
      </c>
      <c r="E29" s="30">
        <f t="shared" si="0"/>
        <v>3850</v>
      </c>
      <c r="F29" s="30">
        <f t="shared" si="1"/>
        <v>3950</v>
      </c>
      <c r="G29" s="30">
        <v>0</v>
      </c>
      <c r="H29" s="31">
        <v>5.0000000000000001E-3</v>
      </c>
      <c r="I29" s="32">
        <v>1.9E-3</v>
      </c>
      <c r="K29" s="45"/>
    </row>
    <row r="30" spans="1:11" x14ac:dyDescent="0.2">
      <c r="A30" s="13" t="s">
        <v>7</v>
      </c>
      <c r="B30" s="14" t="s">
        <v>7</v>
      </c>
      <c r="C30" s="15">
        <v>3965</v>
      </c>
      <c r="D30" s="14">
        <v>35</v>
      </c>
      <c r="E30" s="15">
        <f t="shared" si="0"/>
        <v>3947.5</v>
      </c>
      <c r="F30" s="15">
        <f t="shared" si="1"/>
        <v>3982.5</v>
      </c>
      <c r="G30" s="15">
        <v>-2.5</v>
      </c>
      <c r="H30" s="16">
        <v>5.0000000000000001E-3</v>
      </c>
      <c r="I30" s="17">
        <v>1.9E-3</v>
      </c>
      <c r="K30" s="45"/>
    </row>
    <row r="31" spans="1:11" x14ac:dyDescent="0.2">
      <c r="A31" s="23" t="s">
        <v>4</v>
      </c>
      <c r="B31" s="24" t="s">
        <v>4</v>
      </c>
      <c r="C31" s="25">
        <v>5000</v>
      </c>
      <c r="D31" s="24">
        <v>100</v>
      </c>
      <c r="E31" s="25">
        <f t="shared" si="0"/>
        <v>4950</v>
      </c>
      <c r="F31" s="25">
        <f t="shared" si="1"/>
        <v>5050</v>
      </c>
      <c r="G31" s="25">
        <v>967.5</v>
      </c>
      <c r="H31" s="26">
        <v>8.9999999999999993E-3</v>
      </c>
      <c r="I31" s="27">
        <v>1.9E-3</v>
      </c>
      <c r="K31" s="45"/>
    </row>
    <row r="32" spans="1:11" x14ac:dyDescent="0.2">
      <c r="A32" s="23" t="s">
        <v>4</v>
      </c>
      <c r="B32" s="24" t="s">
        <v>4</v>
      </c>
      <c r="C32" s="25">
        <v>5100</v>
      </c>
      <c r="D32" s="24">
        <v>100</v>
      </c>
      <c r="E32" s="25">
        <f t="shared" si="0"/>
        <v>5050</v>
      </c>
      <c r="F32" s="25">
        <f t="shared" si="1"/>
        <v>5150</v>
      </c>
      <c r="G32" s="25">
        <v>0</v>
      </c>
      <c r="H32" s="26">
        <v>8.9999999999999993E-3</v>
      </c>
      <c r="I32" s="27">
        <v>1.9E-3</v>
      </c>
      <c r="K32" s="45"/>
    </row>
    <row r="33" spans="1:11" x14ac:dyDescent="0.2">
      <c r="A33" s="23" t="s">
        <v>4</v>
      </c>
      <c r="B33" s="24" t="s">
        <v>4</v>
      </c>
      <c r="C33" s="25">
        <v>5200</v>
      </c>
      <c r="D33" s="24">
        <v>100</v>
      </c>
      <c r="E33" s="25">
        <f t="shared" si="0"/>
        <v>5150</v>
      </c>
      <c r="F33" s="25">
        <f t="shared" si="1"/>
        <v>5250</v>
      </c>
      <c r="G33" s="25">
        <v>0</v>
      </c>
      <c r="H33" s="26">
        <v>8.9999999999999993E-3</v>
      </c>
      <c r="I33" s="27">
        <v>1.9E-3</v>
      </c>
      <c r="K33" s="45"/>
    </row>
    <row r="34" spans="1:11" x14ac:dyDescent="0.2">
      <c r="A34" s="23" t="s">
        <v>4</v>
      </c>
      <c r="B34" s="24" t="s">
        <v>4</v>
      </c>
      <c r="C34" s="25">
        <v>5300</v>
      </c>
      <c r="D34" s="24">
        <v>100</v>
      </c>
      <c r="E34" s="25">
        <f t="shared" si="0"/>
        <v>5250</v>
      </c>
      <c r="F34" s="25">
        <f t="shared" si="1"/>
        <v>5350</v>
      </c>
      <c r="G34" s="25">
        <v>0</v>
      </c>
      <c r="H34" s="26">
        <v>8.9999999999999993E-3</v>
      </c>
      <c r="I34" s="27">
        <v>1.9E-3</v>
      </c>
      <c r="K34" s="45"/>
    </row>
    <row r="35" spans="1:11" x14ac:dyDescent="0.2">
      <c r="A35" s="23" t="s">
        <v>4</v>
      </c>
      <c r="B35" s="24" t="s">
        <v>4</v>
      </c>
      <c r="C35" s="25">
        <v>5400</v>
      </c>
      <c r="D35" s="24">
        <v>100</v>
      </c>
      <c r="E35" s="25">
        <f t="shared" si="0"/>
        <v>5350</v>
      </c>
      <c r="F35" s="25">
        <f t="shared" si="1"/>
        <v>5450</v>
      </c>
      <c r="G35" s="25">
        <v>0</v>
      </c>
      <c r="H35" s="26">
        <v>8.9999999999999993E-3</v>
      </c>
      <c r="I35" s="27">
        <v>1.9E-3</v>
      </c>
      <c r="K35" s="45"/>
    </row>
    <row r="36" spans="1:11" x14ac:dyDescent="0.2">
      <c r="A36" s="23" t="s">
        <v>4</v>
      </c>
      <c r="B36" s="24" t="s">
        <v>4</v>
      </c>
      <c r="C36" s="25">
        <v>5500</v>
      </c>
      <c r="D36" s="24">
        <v>100</v>
      </c>
      <c r="E36" s="25">
        <f t="shared" si="0"/>
        <v>5450</v>
      </c>
      <c r="F36" s="25">
        <f t="shared" si="1"/>
        <v>5550</v>
      </c>
      <c r="G36" s="25">
        <v>0</v>
      </c>
      <c r="H36" s="26">
        <v>8.9999999999999993E-3</v>
      </c>
      <c r="I36" s="27">
        <v>1.9E-3</v>
      </c>
      <c r="K36" s="45"/>
    </row>
    <row r="37" spans="1:11" x14ac:dyDescent="0.2">
      <c r="A37" s="23" t="s">
        <v>4</v>
      </c>
      <c r="B37" s="24" t="s">
        <v>4</v>
      </c>
      <c r="C37" s="25">
        <v>5600</v>
      </c>
      <c r="D37" s="24">
        <v>100</v>
      </c>
      <c r="E37" s="25">
        <f t="shared" si="0"/>
        <v>5550</v>
      </c>
      <c r="F37" s="25">
        <f t="shared" si="1"/>
        <v>5650</v>
      </c>
      <c r="G37" s="25">
        <v>0</v>
      </c>
      <c r="H37" s="26">
        <v>8.9999999999999993E-3</v>
      </c>
      <c r="I37" s="27">
        <v>1.9E-3</v>
      </c>
      <c r="K37" s="45"/>
    </row>
    <row r="38" spans="1:11" x14ac:dyDescent="0.2">
      <c r="A38" s="23" t="s">
        <v>4</v>
      </c>
      <c r="B38" s="24" t="s">
        <v>4</v>
      </c>
      <c r="C38" s="25">
        <v>5700</v>
      </c>
      <c r="D38" s="24">
        <v>100</v>
      </c>
      <c r="E38" s="25">
        <f t="shared" si="0"/>
        <v>5650</v>
      </c>
      <c r="F38" s="25">
        <f t="shared" si="1"/>
        <v>5750</v>
      </c>
      <c r="G38" s="25">
        <v>0</v>
      </c>
      <c r="H38" s="26">
        <v>8.9999999999999993E-3</v>
      </c>
      <c r="I38" s="27">
        <v>1.9E-3</v>
      </c>
      <c r="K38" s="45"/>
    </row>
    <row r="39" spans="1:11" x14ac:dyDescent="0.2">
      <c r="A39" s="23" t="s">
        <v>4</v>
      </c>
      <c r="B39" s="24" t="s">
        <v>4</v>
      </c>
      <c r="C39" s="25">
        <v>5800</v>
      </c>
      <c r="D39" s="24">
        <v>100</v>
      </c>
      <c r="E39" s="25">
        <f t="shared" si="0"/>
        <v>5750</v>
      </c>
      <c r="F39" s="25">
        <f t="shared" si="1"/>
        <v>5850</v>
      </c>
      <c r="G39" s="25">
        <v>0</v>
      </c>
      <c r="H39" s="26">
        <v>8.9999999999999993E-3</v>
      </c>
      <c r="I39" s="27">
        <v>1.9E-3</v>
      </c>
      <c r="K39" s="45"/>
    </row>
    <row r="40" spans="1:11" x14ac:dyDescent="0.2">
      <c r="A40" s="33" t="s">
        <v>4</v>
      </c>
      <c r="B40" s="34" t="s">
        <v>4</v>
      </c>
      <c r="C40" s="35">
        <v>5887.5</v>
      </c>
      <c r="D40" s="34">
        <v>75</v>
      </c>
      <c r="E40" s="35">
        <f t="shared" si="0"/>
        <v>5850</v>
      </c>
      <c r="F40" s="35">
        <f t="shared" si="1"/>
        <v>5925</v>
      </c>
      <c r="G40" s="35">
        <v>0</v>
      </c>
      <c r="H40" s="36">
        <v>8.9999999999999993E-3</v>
      </c>
      <c r="I40" s="37">
        <v>1.9E-3</v>
      </c>
      <c r="K40" s="45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Toledo-crow</dc:creator>
  <cp:lastModifiedBy>Ricardo Toledo-crow</cp:lastModifiedBy>
  <dcterms:created xsi:type="dcterms:W3CDTF">2025-11-17T19:04:06Z</dcterms:created>
  <dcterms:modified xsi:type="dcterms:W3CDTF">2025-12-10T17:47:00Z</dcterms:modified>
</cp:coreProperties>
</file>